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terview Inventory" sheetId="2" state="visible" r:id="rId2"/>
    <sheet xmlns:r="http://schemas.openxmlformats.org/officeDocument/2006/relationships" name="Resume Validation" sheetId="3" state="visible" r:id="rId3"/>
    <sheet xmlns:r="http://schemas.openxmlformats.org/officeDocument/2006/relationships" name="Action Log" sheetId="4" state="visible" r:id="rId4"/>
    <sheet xmlns:r="http://schemas.openxmlformats.org/officeDocument/2006/relationships" name="Round 1 Question Bank" sheetId="5" state="visible" r:id="rId5"/>
    <sheet xmlns:r="http://schemas.openxmlformats.org/officeDocument/2006/relationships" name="Round 1 by Candidate" sheetId="6" state="visible" r:id="rId6"/>
    <sheet xmlns:r="http://schemas.openxmlformats.org/officeDocument/2006/relationships" name="Summary" sheetId="7" state="visible" r:id="rId7"/>
  </sheets>
  <definedNames>
    <definedName name="_xlnm._FilterDatabase" localSheetId="1" hidden="1">'Interview Inventory'!$A$2:$AQ$24</definedName>
    <definedName name="_xlnm._FilterDatabase" localSheetId="4" hidden="1">'Round 1 Question Bank'!$A$4:$G$66</definedName>
  </definedNames>
  <calcPr calcId="124519" fullCalcOnLoad="1"/>
</workbook>
</file>

<file path=xl/styles.xml><?xml version="1.0" encoding="utf-8"?>
<styleSheet xmlns="http://schemas.openxmlformats.org/spreadsheetml/2006/main">
  <numFmts count="5">
    <numFmt numFmtId="164" formatCode="0.00&quot; L&quot;"/>
    <numFmt numFmtId="165" formatCode="0.0%"/>
    <numFmt numFmtId="166" formatCode="yyyy-mm-dd"/>
    <numFmt numFmtId="167" formatCode="DD-MMM-YY"/>
    <numFmt numFmtId="168" formatCode="0.0"/>
  </numFmts>
  <fonts count="11">
    <font>
      <name val="Calibri"/>
      <family val="2"/>
      <color theme="1"/>
      <sz val="11"/>
      <scheme val="minor"/>
    </font>
    <font>
      <name val="Arial"/>
      <b val="1"/>
      <color rgb="00FFFFFF"/>
      <sz val="11"/>
    </font>
    <font>
      <name val="Arial"/>
      <b val="1"/>
      <color rgb="001F3864"/>
      <sz val="10"/>
    </font>
    <font>
      <name val="Arial"/>
      <color rgb="00000000"/>
      <sz val="10"/>
    </font>
    <font>
      <name val="Arial"/>
      <b val="1"/>
      <color rgb="00000000"/>
      <sz val="10"/>
    </font>
    <font>
      <name val="Arial"/>
      <i val="1"/>
      <color rgb="00808080"/>
      <sz val="10"/>
    </font>
    <font>
      <name val="Arial"/>
      <b val="1"/>
      <color rgb="00FFFFFF"/>
      <sz val="13"/>
    </font>
    <font>
      <name val="Arial"/>
      <i val="1"/>
      <color rgb="00404040"/>
      <sz val="9"/>
    </font>
    <font>
      <name val="Arial"/>
      <i val="1"/>
      <color rgb="00595959"/>
      <sz val="10"/>
    </font>
    <font>
      <name val="Arial"/>
      <b val="1"/>
      <color rgb="000000FF"/>
      <sz val="10"/>
    </font>
    <font>
      <name val="Arial"/>
      <b val="1"/>
      <color rgb="001F3864"/>
      <sz val="11"/>
    </font>
  </fonts>
  <fills count="13">
    <fill>
      <patternFill/>
    </fill>
    <fill>
      <patternFill patternType="gray125"/>
    </fill>
    <fill>
      <patternFill patternType="solid">
        <fgColor rgb="001F3864"/>
      </patternFill>
    </fill>
    <fill>
      <patternFill patternType="solid">
        <fgColor rgb="002E75B6"/>
      </patternFill>
    </fill>
    <fill>
      <patternFill patternType="solid">
        <fgColor rgb="00548235"/>
      </patternFill>
    </fill>
    <fill>
      <patternFill patternType="solid">
        <fgColor rgb="00D9E2F3"/>
      </patternFill>
    </fill>
    <fill>
      <patternFill patternType="solid">
        <fgColor rgb="00E2EFDA"/>
      </patternFill>
    </fill>
    <fill>
      <patternFill patternType="solid">
        <fgColor rgb="00FFE699"/>
      </patternFill>
    </fill>
    <fill>
      <patternFill patternType="solid">
        <fgColor rgb="00F2F2F2"/>
      </patternFill>
    </fill>
    <fill>
      <patternFill patternType="solid">
        <fgColor rgb="00C6EFCE"/>
      </patternFill>
    </fill>
    <fill>
      <patternFill patternType="solid">
        <fgColor rgb="00FFC7CE"/>
      </patternFill>
    </fill>
    <fill>
      <patternFill patternType="solid">
        <fgColor rgb="00EAE0F2"/>
      </patternFill>
    </fill>
    <fill>
      <patternFill patternType="solid">
        <fgColor rgb="00FFFF00"/>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9">
    <xf numFmtId="0" fontId="0" fillId="0" borderId="0" pivotButton="0" quotePrefix="0" xfId="0"/>
    <xf numFmtId="0" fontId="6" fillId="2" borderId="1" applyAlignment="1" pivotButton="0" quotePrefix="0" xfId="0">
      <alignment horizontal="left" vertical="center"/>
    </xf>
    <xf numFmtId="0" fontId="7" fillId="0" borderId="0" applyAlignment="1" pivotButton="0" quotePrefix="0" xfId="0">
      <alignment horizontal="left" vertical="top"/>
    </xf>
    <xf numFmtId="0" fontId="4" fillId="5" borderId="1" applyAlignment="1" pivotButton="0" quotePrefix="0" xfId="0">
      <alignment horizontal="left" vertical="top" wrapText="1"/>
    </xf>
    <xf numFmtId="0" fontId="3" fillId="0" borderId="1" applyAlignment="1" pivotButton="0" quotePrefix="0" xfId="0">
      <alignment horizontal="left" vertical="top" wrapText="1"/>
    </xf>
    <xf numFmtId="0" fontId="1" fillId="2" borderId="1" applyAlignment="1" pivotButton="0" quotePrefix="0" xfId="0">
      <alignment horizontal="center" vertical="center"/>
    </xf>
    <xf numFmtId="0" fontId="0" fillId="0" borderId="1" pivotButton="0" quotePrefix="0" xfId="0"/>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0" borderId="1" applyAlignment="1" pivotButton="0" quotePrefix="0" xfId="0">
      <alignment horizontal="center" vertical="top"/>
    </xf>
    <xf numFmtId="0" fontId="4" fillId="0" borderId="1" applyAlignment="1" pivotButton="0" quotePrefix="0" xfId="0">
      <alignment horizontal="left" vertical="top" wrapText="1"/>
    </xf>
    <xf numFmtId="49" fontId="3" fillId="0" borderId="1" applyAlignment="1" pivotButton="0" quotePrefix="0" xfId="0">
      <alignment horizontal="left" vertical="top"/>
    </xf>
    <xf numFmtId="0" fontId="3" fillId="0" borderId="1" applyAlignment="1" pivotButton="0" quotePrefix="0" xfId="0">
      <alignment horizontal="left" vertical="top"/>
    </xf>
    <xf numFmtId="164" fontId="3" fillId="0" borderId="1" applyAlignment="1" pivotButton="0" quotePrefix="0" xfId="0">
      <alignment horizontal="right" vertical="top"/>
    </xf>
    <xf numFmtId="165" fontId="3" fillId="0" borderId="1" applyAlignment="1" pivotButton="0" quotePrefix="0" xfId="0">
      <alignment horizontal="center" vertical="top"/>
    </xf>
    <xf numFmtId="167" fontId="3" fillId="0" borderId="1" applyAlignment="1" pivotButton="0" quotePrefix="0" xfId="0">
      <alignment horizontal="center" vertical="top"/>
    </xf>
    <xf numFmtId="1" fontId="3" fillId="0" borderId="1" applyAlignment="1" pivotButton="0" quotePrefix="0" xfId="0">
      <alignment horizontal="center" vertical="top"/>
    </xf>
    <xf numFmtId="0" fontId="3" fillId="7" borderId="1" applyAlignment="1" pivotButton="0" quotePrefix="0" xfId="0">
      <alignment horizontal="center" vertical="top"/>
    </xf>
    <xf numFmtId="0" fontId="3" fillId="8" borderId="1" applyAlignment="1" pivotButton="0" quotePrefix="0" xfId="0">
      <alignment horizontal="left" vertical="top" wrapText="1"/>
    </xf>
    <xf numFmtId="0" fontId="3" fillId="8" borderId="1" applyAlignment="1" pivotButton="0" quotePrefix="0" xfId="0">
      <alignment horizontal="center" vertical="top"/>
    </xf>
    <xf numFmtId="167" fontId="3" fillId="8" borderId="1" applyAlignment="1" pivotButton="0" quotePrefix="0" xfId="0">
      <alignment horizontal="left" vertical="top" wrapText="1"/>
    </xf>
    <xf numFmtId="168" fontId="3" fillId="8" borderId="1" applyAlignment="1" pivotButton="0" quotePrefix="0" xfId="0">
      <alignment horizontal="left" vertical="top" wrapText="1"/>
    </xf>
    <xf numFmtId="164" fontId="3" fillId="8" borderId="1" applyAlignment="1" pivotButton="0" quotePrefix="0" xfId="0">
      <alignment horizontal="left" vertical="top" wrapText="1"/>
    </xf>
    <xf numFmtId="0" fontId="3" fillId="9" borderId="1" applyAlignment="1" pivotButton="0" quotePrefix="0" xfId="0">
      <alignment horizontal="center" vertical="top"/>
    </xf>
    <xf numFmtId="0" fontId="5" fillId="0" borderId="1" applyAlignment="1" pivotButton="0" quotePrefix="0" xfId="0">
      <alignment horizontal="left" vertical="top" wrapText="1"/>
    </xf>
    <xf numFmtId="0" fontId="3" fillId="10" borderId="1" applyAlignment="1" pivotButton="0" quotePrefix="0" xfId="0">
      <alignment horizontal="center" vertical="top"/>
    </xf>
    <xf numFmtId="0" fontId="5" fillId="0" borderId="1" applyAlignment="1" pivotButton="0" quotePrefix="0" xfId="0">
      <alignment horizontal="center" vertical="top"/>
    </xf>
    <xf numFmtId="0" fontId="4" fillId="7"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4" fillId="10" borderId="1" applyAlignment="1" pivotButton="0" quotePrefix="0" xfId="0">
      <alignment horizontal="center" vertical="top"/>
    </xf>
    <xf numFmtId="0" fontId="4" fillId="7" borderId="1" applyAlignment="1" pivotButton="0" quotePrefix="0" xfId="0">
      <alignment horizontal="center" vertical="top"/>
    </xf>
    <xf numFmtId="0" fontId="4" fillId="5" borderId="1" applyAlignment="1" pivotButton="0" quotePrefix="0" xfId="0">
      <alignment horizontal="center" vertical="top"/>
    </xf>
    <xf numFmtId="0" fontId="2" fillId="11" borderId="1" applyAlignment="1" pivotButton="0" quotePrefix="0" xfId="0">
      <alignment horizontal="center" vertical="center" wrapText="1"/>
    </xf>
    <xf numFmtId="0" fontId="8" fillId="0" borderId="1" applyAlignment="1" pivotButton="0" quotePrefix="0" xfId="0">
      <alignment horizontal="left" vertical="top"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3" fillId="0" borderId="1" applyAlignment="1" pivotButton="0" quotePrefix="0" xfId="0">
      <alignment horizontal="left" vertical="center" wrapText="1"/>
    </xf>
    <xf numFmtId="1" fontId="3" fillId="8" borderId="1" applyAlignment="1" pivotButton="0" quotePrefix="0" xfId="0">
      <alignment horizontal="center" vertical="top"/>
    </xf>
    <xf numFmtId="0" fontId="0" fillId="0" borderId="3" pivotButton="0" quotePrefix="0" xfId="0"/>
    <xf numFmtId="0" fontId="0" fillId="0" borderId="4" pivotButton="0" quotePrefix="0" xfId="0"/>
    <xf numFmtId="0" fontId="4" fillId="5" borderId="1" applyAlignment="1" pivotButton="0" quotePrefix="0" xfId="0">
      <alignment horizontal="left" vertical="top"/>
    </xf>
    <xf numFmtId="167" fontId="9" fillId="12" borderId="1" applyAlignment="1" pivotButton="0" quotePrefix="0" xfId="0">
      <alignment horizontal="center" vertical="top"/>
    </xf>
    <xf numFmtId="0" fontId="4" fillId="0" borderId="1" applyAlignment="1" pivotButton="0" quotePrefix="0" xfId="0">
      <alignment horizontal="left" vertical="top"/>
    </xf>
    <xf numFmtId="0" fontId="10" fillId="0" borderId="0" applyAlignment="1" pivotButton="0" quotePrefix="0" xfId="0">
      <alignment horizontal="left" vertical="top"/>
    </xf>
    <xf numFmtId="164" fontId="4" fillId="5" borderId="1" applyAlignment="1" pivotButton="0" quotePrefix="0" xfId="0">
      <alignment horizontal="right" vertical="top"/>
    </xf>
    <xf numFmtId="165" fontId="4"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Inventory</author>
  </authors>
  <commentList>
    <comment ref="N2" authorId="0" shapeId="0">
      <text>
        <t>CTC / ECTC are INR lakhs per annum. SL 18-22 arrived as resumes only, so their commercials read 'Not captured' rather than being guessed.</t>
      </text>
    </comment>
    <comment ref="S2" authorId="0" shapeId="0">
      <text>
        <t>LWD minus the as-on date (8 Oct 2026). Negative means the last working day has passed.</t>
      </text>
    </comment>
  </commentList>
</comments>
</file>

<file path=xl/comments/comment2.xml><?xml version="1.0" encoding="utf-8"?>
<comments xmlns="http://schemas.openxmlformats.org/spreadsheetml/2006/main">
  <authors>
    <author>Inventory</author>
  </authors>
  <commentList>
    <comment ref="B4" authorId="0" shapeId="0">
      <text>
        <t>Blue on yellow = the one input cell. Edit it and the Days to LWD and Availability columns recalculate.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28" customWidth="1" min="1" max="1"/>
    <col width="104" customWidth="1" min="2" max="2"/>
  </cols>
  <sheetData>
    <row r="1" ht="24" customHeight="1">
      <c r="A1" s="1" t="inlineStr">
        <is>
          <t>Interview inventory - Certainti hiring, 22 candidates</t>
        </is>
      </c>
    </row>
    <row r="2">
      <c r="A2" s="2" t="inlineStr">
        <is>
          <t>Rebuilt on 8 Oct 2026 from the same data the Certainti Hiring Portal runs on, so the two cannot drift apart.</t>
        </is>
      </c>
    </row>
    <row r="4" ht="34" customHeight="1">
      <c r="A4" s="3" t="inlineStr">
        <is>
          <t>What this is</t>
        </is>
      </c>
      <c r="B4" s="4" t="inlineStr">
        <is>
          <t>All 22 candidates: 17 submitted by IKrux Engineering on 21-Sep-2026 and 5 that arrived as resumes on 6-Oct-2026. Every one has a CV on file and a verdict against it.</t>
        </is>
      </c>
    </row>
    <row r="5" ht="34" customHeight="1">
      <c r="A5" s="3" t="inlineStr">
        <is>
          <t>Interview Inventory</t>
        </is>
      </c>
      <c r="B5" s="4" t="inlineStr">
        <is>
          <t>Columns A-P are the submitted fields, Q-V are calculated, and W onward is the grey tracking block: recommended role, screening, four interview rounds with date, panel and result, then outcome. Result and status fields are dropdowns.</t>
        </is>
      </c>
    </row>
    <row r="6" ht="34" customHeight="1">
      <c r="A6" s="3" t="inlineStr">
        <is>
          <t>Resume Validation</t>
        </is>
      </c>
      <c r="B6" s="4" t="inlineStr">
        <is>
          <t>What each CV says and how it compares with the row, colour-coded green, amber or red. For SL 18-22 there was no submitted row, so the verdict assesses the profile itself.</t>
        </is>
      </c>
    </row>
    <row r="7" ht="34" customHeight="1">
      <c r="A7" s="3" t="inlineStr">
        <is>
          <t>Action Log</t>
        </is>
      </c>
      <c r="B7" s="4" t="inlineStr">
        <is>
          <t>46 open items ranked High, Medium then Low, each with the action it needs and a column for owner and status.</t>
        </is>
      </c>
    </row>
    <row r="8" ht="34" customHeight="1">
      <c r="A8" s="3" t="inlineStr">
        <is>
          <t>Round 1 Question Bank</t>
        </is>
      </c>
      <c r="B8" s="4" t="inlineStr">
        <is>
          <t>All 62 theory questions with the expected answer and a follow-up to push with. Filter by topic, stream or level.</t>
        </is>
      </c>
    </row>
    <row r="9" ht="34" customHeight="1">
      <c r="A9" s="3" t="inlineStr">
        <is>
          <t>Round 1 by Candidate</t>
        </is>
      </c>
      <c r="B9" s="4" t="inlineStr">
        <is>
          <t>The question each candidate starts on for each of the seven topics, with its expected answer and a score column.</t>
        </is>
      </c>
    </row>
    <row r="10" ht="34" customHeight="1">
      <c r="A10" s="3" t="inlineStr">
        <is>
          <t>Summary</t>
        </is>
      </c>
      <c r="B10" s="4" t="inlineStr">
        <is>
          <t>Role mix, availability, source, commercials, flags and the interview funnel - all formulas, so they stay live as the tracking columns are filled in.</t>
        </is>
      </c>
    </row>
    <row r="11" ht="34" customHeight="1">
      <c r="A11" s="3" t="inlineStr">
        <is>
          <t>Cells you edit</t>
        </is>
      </c>
      <c r="B11" s="4" t="inlineStr">
        <is>
          <t>Summary!B4 (the as-on date, blue on yellow), the grey tracking columns on the inventory, the score column on Round 1 by Candidate, and Owner / status on the Action Log.</t>
        </is>
      </c>
    </row>
    <row r="12" ht="34" customHeight="1">
      <c r="A12" s="3" t="inlineStr">
        <is>
          <t>Not captured</t>
        </is>
      </c>
      <c r="B12" s="4" t="inlineStr">
        <is>
          <t>SL 18-22 came as resumes only, with no notice period, CTC, expected CTC or competing offers. Those cells read 'Not captured' in grey italics rather than being guessed, and they are excluded from the averages.</t>
        </is>
      </c>
    </row>
    <row r="13" ht="34" customHeight="1">
      <c r="A13" s="3" t="inlineStr">
        <is>
          <t>Units</t>
        </is>
      </c>
      <c r="B13" s="4" t="inlineStr">
        <is>
          <t>CTC, ECTC and Offered CTC are INR lakhs per annum. Dates are DD-MMM-YY. Days to LWD is negative once the last working day has passed.</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24"/>
  <sheetViews>
    <sheetView showGridLines="0" workbookViewId="0">
      <pane xSplit="5" ySplit="2" topLeftCell="F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1" customWidth="1" min="3" max="3"/>
    <col width="20" customWidth="1" min="4" max="4"/>
    <col width="23" customWidth="1" min="5" max="5"/>
    <col width="13" customWidth="1" min="6" max="6"/>
    <col width="30" customWidth="1" min="7" max="7"/>
    <col width="26" customWidth="1" min="8" max="8"/>
    <col width="10" customWidth="1" min="9" max="9"/>
    <col width="44" customWidth="1" min="10" max="10"/>
    <col width="16" customWidth="1" min="11" max="11"/>
    <col width="12" customWidth="1" min="12" max="12"/>
    <col width="20" customWidth="1" min="13" max="13"/>
    <col width="12" customWidth="1" min="14" max="14"/>
    <col width="12" customWidth="1" min="15" max="15"/>
    <col width="16" customWidth="1" min="16" max="16"/>
    <col width="9" customWidth="1" min="17" max="17"/>
    <col width="12" customWidth="1" min="18" max="18"/>
    <col width="8" customWidth="1" min="19" max="19"/>
    <col width="15" customWidth="1" min="20" max="20"/>
    <col width="12" customWidth="1" min="21" max="21"/>
    <col width="8"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32" customWidth="1" min="43" max="43"/>
  </cols>
  <sheetData>
    <row r="1">
      <c r="A1" s="5" t="inlineStr">
        <is>
          <t>Candidate details as submitted</t>
        </is>
      </c>
      <c r="B1" s="6" t="n"/>
      <c r="C1" s="6" t="n"/>
      <c r="D1" s="6" t="n"/>
      <c r="E1" s="6" t="n"/>
      <c r="F1" s="6" t="n"/>
      <c r="G1" s="6" t="n"/>
      <c r="H1" s="6" t="n"/>
      <c r="I1" s="6" t="n"/>
      <c r="J1" s="6" t="n"/>
      <c r="K1" s="6" t="n"/>
      <c r="L1" s="6" t="n"/>
      <c r="M1" s="6" t="n"/>
      <c r="N1" s="6" t="n"/>
      <c r="O1" s="6" t="n"/>
      <c r="P1" s="6" t="n"/>
      <c r="Q1" s="7" t="inlineStr">
        <is>
          <t>Derived</t>
        </is>
      </c>
      <c r="R1" s="6" t="n"/>
      <c r="S1" s="6" t="n"/>
      <c r="T1" s="6" t="n"/>
      <c r="U1" s="6" t="n"/>
      <c r="V1" s="6" t="n"/>
      <c r="W1" s="8" t="inlineStr">
        <is>
          <t>Interview process tracking - to be filled in</t>
        </is>
      </c>
      <c r="X1" s="6" t="n"/>
      <c r="Y1" s="6" t="n"/>
      <c r="Z1" s="6" t="n"/>
      <c r="AA1" s="6" t="n"/>
      <c r="AB1" s="6" t="n"/>
      <c r="AC1" s="6" t="n"/>
      <c r="AD1" s="6" t="n"/>
      <c r="AE1" s="6" t="n"/>
      <c r="AF1" s="6" t="n"/>
      <c r="AG1" s="6" t="n"/>
      <c r="AH1" s="6" t="n"/>
      <c r="AI1" s="6" t="n"/>
      <c r="AJ1" s="6" t="n"/>
      <c r="AK1" s="6" t="n"/>
      <c r="AL1" s="6" t="n"/>
      <c r="AM1" s="6" t="n"/>
      <c r="AN1" s="6" t="n"/>
      <c r="AO1" s="6" t="n"/>
      <c r="AP1" s="6" t="n"/>
      <c r="AQ1" s="6" t="n"/>
    </row>
    <row r="2" ht="34" customHeight="1">
      <c r="A2" s="9" t="inlineStr">
        <is>
          <t>SL. No</t>
        </is>
      </c>
      <c r="B2" s="9" t="inlineStr">
        <is>
          <t>Source</t>
        </is>
      </c>
      <c r="C2" s="9" t="inlineStr">
        <is>
          <t>Date</t>
        </is>
      </c>
      <c r="D2" s="9" t="inlineStr">
        <is>
          <t>Skill Name</t>
        </is>
      </c>
      <c r="E2" s="9" t="inlineStr">
        <is>
          <t>Candidate Name</t>
        </is>
      </c>
      <c r="F2" s="9" t="inlineStr">
        <is>
          <t>Mobile Number</t>
        </is>
      </c>
      <c r="G2" s="9" t="inlineStr">
        <is>
          <t>Email ID</t>
        </is>
      </c>
      <c r="H2" s="9" t="inlineStr">
        <is>
          <t>Current Company</t>
        </is>
      </c>
      <c r="I2" s="9" t="inlineStr">
        <is>
          <t>Total Experience</t>
        </is>
      </c>
      <c r="J2" s="9" t="inlineStr">
        <is>
          <t>Relevant Experience</t>
        </is>
      </c>
      <c r="K2" s="9" t="inlineStr">
        <is>
          <t>Current Location</t>
        </is>
      </c>
      <c r="L2" s="9" t="inlineStr">
        <is>
          <t>Work Location</t>
        </is>
      </c>
      <c r="M2" s="9" t="inlineStr">
        <is>
          <t>Notice Period</t>
        </is>
      </c>
      <c r="N2" s="9" t="inlineStr">
        <is>
          <t>CTC</t>
        </is>
      </c>
      <c r="O2" s="9" t="inlineStr">
        <is>
          <t>ECTC</t>
        </is>
      </c>
      <c r="P2" s="9" t="inlineStr">
        <is>
          <t>Offers</t>
        </is>
      </c>
      <c r="Q2" s="9" t="inlineStr">
        <is>
          <t>Hike %</t>
        </is>
      </c>
      <c r="R2" s="9" t="inlineStr">
        <is>
          <t>LWD (date)</t>
        </is>
      </c>
      <c r="S2" s="9" t="inlineStr">
        <is>
          <t>Days to LWD</t>
        </is>
      </c>
      <c r="T2" s="9" t="inlineStr">
        <is>
          <t>Availability</t>
        </is>
      </c>
      <c r="U2" s="9" t="inlineStr">
        <is>
          <t>Highest flag</t>
        </is>
      </c>
      <c r="V2" s="9" t="inlineStr">
        <is>
          <t>Open actions</t>
        </is>
      </c>
      <c r="W2" s="10" t="inlineStr">
        <is>
          <t>Recommended role</t>
        </is>
      </c>
      <c r="X2" s="10" t="inlineStr">
        <is>
          <t>Resume on file</t>
        </is>
      </c>
      <c r="Y2" s="10" t="inlineStr">
        <is>
          <t>Screening</t>
        </is>
      </c>
      <c r="Z2" s="10" t="inlineStr">
        <is>
          <t>R1 date</t>
        </is>
      </c>
      <c r="AA2" s="10" t="inlineStr">
        <is>
          <t>R1 panel</t>
        </is>
      </c>
      <c r="AB2" s="10" t="inlineStr">
        <is>
          <t>R1 result</t>
        </is>
      </c>
      <c r="AC2" s="10" t="inlineStr">
        <is>
          <t>R2 date</t>
        </is>
      </c>
      <c r="AD2" s="10" t="inlineStr">
        <is>
          <t>R2 panel</t>
        </is>
      </c>
      <c r="AE2" s="10" t="inlineStr">
        <is>
          <t>R2 result</t>
        </is>
      </c>
      <c r="AF2" s="10" t="inlineStr">
        <is>
          <t>R3 date</t>
        </is>
      </c>
      <c r="AG2" s="10" t="inlineStr">
        <is>
          <t>R3 panel</t>
        </is>
      </c>
      <c r="AH2" s="10" t="inlineStr">
        <is>
          <t>R3 result</t>
        </is>
      </c>
      <c r="AI2" s="10" t="inlineStr">
        <is>
          <t>Final date</t>
        </is>
      </c>
      <c r="AJ2" s="10" t="inlineStr">
        <is>
          <t>Final panel</t>
        </is>
      </c>
      <c r="AK2" s="10" t="inlineStr">
        <is>
          <t>Final result</t>
        </is>
      </c>
      <c r="AL2" s="10" t="inlineStr">
        <is>
          <t>R1 avg score</t>
        </is>
      </c>
      <c r="AM2" s="10" t="inlineStr">
        <is>
          <t>Final status</t>
        </is>
      </c>
      <c r="AN2" s="10" t="inlineStr">
        <is>
          <t>Offer released</t>
        </is>
      </c>
      <c r="AO2" s="10" t="inlineStr">
        <is>
          <t>Offered CTC</t>
        </is>
      </c>
      <c r="AP2" s="10" t="inlineStr">
        <is>
          <t>Date of joining</t>
        </is>
      </c>
      <c r="AQ2" s="10" t="inlineStr">
        <is>
          <t>Remarks</t>
        </is>
      </c>
    </row>
    <row r="3" ht="30" customHeight="1">
      <c r="A3" s="11" t="n">
        <v>1</v>
      </c>
      <c r="B3" s="4" t="inlineStr">
        <is>
          <t>IKrux Engineering</t>
        </is>
      </c>
      <c r="C3" s="11" t="inlineStr">
        <is>
          <t>21-Sep-2026</t>
        </is>
      </c>
      <c r="D3" s="4" t="inlineStr">
        <is>
          <t>Technical Consultant</t>
        </is>
      </c>
      <c r="E3" s="12" t="inlineStr">
        <is>
          <t>Jeganagan Murugesan</t>
        </is>
      </c>
      <c r="F3" s="13" t="inlineStr">
        <is>
          <t>9940641190</t>
        </is>
      </c>
      <c r="G3" s="14" t="inlineStr">
        <is>
          <t>jeganagan@gmail.com</t>
        </is>
      </c>
      <c r="H3" s="4" t="inlineStr">
        <is>
          <t>L&amp;T Infotech</t>
        </is>
      </c>
      <c r="I3" s="11" t="inlineStr">
        <is>
          <t>14 Years</t>
        </is>
      </c>
      <c r="J3" s="4" t="inlineStr">
        <is>
          <t>.Net 14 Years | React 3 Years | Cloud 3 Years | Lead 4 Years | AI 2 Years | Client Interaction 10 Years</t>
        </is>
      </c>
      <c r="K3" s="4" t="inlineStr">
        <is>
          <t>Coimbatore</t>
        </is>
      </c>
      <c r="L3" s="14" t="inlineStr">
        <is>
          <t>Coimbatore</t>
        </is>
      </c>
      <c r="M3" s="4" t="inlineStr">
        <is>
          <t>LWD: 15 Oct 2026</t>
        </is>
      </c>
      <c r="N3" s="15" t="n">
        <v>30</v>
      </c>
      <c r="O3" s="15" t="n">
        <v>36</v>
      </c>
      <c r="P3" s="4" t="inlineStr">
        <is>
          <t>No</t>
        </is>
      </c>
      <c r="Q3" s="16" t="n">
        <v>0.2</v>
      </c>
      <c r="R3" s="17" t="n">
        <v>46310</v>
      </c>
      <c r="S3" s="18" t="n">
        <v>7</v>
      </c>
      <c r="T3" s="19" t="inlineStr">
        <is>
          <t>Within 30 days</t>
        </is>
      </c>
      <c r="U3" s="19" t="inlineStr">
        <is>
          <t>Medium</t>
        </is>
      </c>
      <c r="V3" s="11" t="n">
        <v>1</v>
      </c>
      <c r="W3" s="20" t="n"/>
      <c r="X3" s="21" t="inlineStr">
        <is>
          <t>Yes</t>
        </is>
      </c>
      <c r="Y3" s="20" t="n"/>
      <c r="Z3" s="22" t="n"/>
      <c r="AA3" s="20" t="n"/>
      <c r="AB3" s="20" t="n"/>
      <c r="AC3" s="22" t="n"/>
      <c r="AD3" s="20" t="n"/>
      <c r="AE3" s="20" t="n"/>
      <c r="AF3" s="22" t="n"/>
      <c r="AG3" s="20" t="n"/>
      <c r="AH3" s="20" t="n"/>
      <c r="AI3" s="22" t="n"/>
      <c r="AJ3" s="20" t="n"/>
      <c r="AK3" s="20" t="n"/>
      <c r="AL3" s="23" t="n"/>
      <c r="AM3" s="20" t="n"/>
      <c r="AN3" s="20" t="n"/>
      <c r="AO3" s="24" t="n"/>
      <c r="AP3" s="22" t="n"/>
      <c r="AQ3" s="20" t="n"/>
    </row>
    <row r="4" ht="30" customHeight="1">
      <c r="A4" s="11" t="n">
        <v>2</v>
      </c>
      <c r="B4" s="4" t="inlineStr">
        <is>
          <t>IKrux Engineering</t>
        </is>
      </c>
      <c r="C4" s="11" t="inlineStr">
        <is>
          <t>21-Sep-2026</t>
        </is>
      </c>
      <c r="D4" s="4" t="inlineStr">
        <is>
          <t>Technical Consultant</t>
        </is>
      </c>
      <c r="E4" s="12" t="inlineStr">
        <is>
          <t>Dayakar G</t>
        </is>
      </c>
      <c r="F4" s="13" t="inlineStr">
        <is>
          <t>9629921391</t>
        </is>
      </c>
      <c r="G4" s="14" t="inlineStr">
        <is>
          <t>dayakargm@gmail.com</t>
        </is>
      </c>
      <c r="H4" s="4" t="inlineStr">
        <is>
          <t>IBM India Pvt. Limited</t>
        </is>
      </c>
      <c r="I4" s="11" t="inlineStr">
        <is>
          <t>15 Years</t>
        </is>
      </c>
      <c r="J4" s="4" t="inlineStr">
        <is>
          <t>.Net 15 Years | React 3 Years | Azure 5 Years | Lead 4 Years | AI 2 Years | Client Interaction 4 Years</t>
        </is>
      </c>
      <c r="K4" s="4" t="inlineStr">
        <is>
          <t>Coimbatore</t>
        </is>
      </c>
      <c r="L4" s="14" t="inlineStr">
        <is>
          <t>Coimbatore</t>
        </is>
      </c>
      <c r="M4" s="4" t="inlineStr">
        <is>
          <t>LWD: 4 Sep 2026</t>
        </is>
      </c>
      <c r="N4" s="15" t="n">
        <v>18.3</v>
      </c>
      <c r="O4" s="15" t="n">
        <v>24</v>
      </c>
      <c r="P4" s="4" t="inlineStr">
        <is>
          <t>No</t>
        </is>
      </c>
      <c r="Q4" s="16" t="n">
        <v>0.3114754098360655</v>
      </c>
      <c r="R4" s="17" t="n">
        <v>46269</v>
      </c>
      <c r="S4" s="18" t="n">
        <v>-34</v>
      </c>
      <c r="T4" s="25" t="inlineStr">
        <is>
          <t>Available now</t>
        </is>
      </c>
      <c r="U4" s="19" t="inlineStr">
        <is>
          <t>Medium</t>
        </is>
      </c>
      <c r="V4" s="11" t="n">
        <v>2</v>
      </c>
      <c r="W4" s="20" t="n"/>
      <c r="X4" s="21" t="inlineStr">
        <is>
          <t>Yes</t>
        </is>
      </c>
      <c r="Y4" s="20" t="n"/>
      <c r="Z4" s="22" t="n"/>
      <c r="AA4" s="20" t="n"/>
      <c r="AB4" s="20" t="n"/>
      <c r="AC4" s="22" t="n"/>
      <c r="AD4" s="20" t="n"/>
      <c r="AE4" s="20" t="n"/>
      <c r="AF4" s="22" t="n"/>
      <c r="AG4" s="20" t="n"/>
      <c r="AH4" s="20" t="n"/>
      <c r="AI4" s="22" t="n"/>
      <c r="AJ4" s="20" t="n"/>
      <c r="AK4" s="20" t="n"/>
      <c r="AL4" s="23" t="n"/>
      <c r="AM4" s="20" t="n"/>
      <c r="AN4" s="20" t="n"/>
      <c r="AO4" s="24" t="n"/>
      <c r="AP4" s="22" t="n"/>
      <c r="AQ4" s="20" t="n"/>
    </row>
    <row r="5" ht="30" customHeight="1">
      <c r="A5" s="11" t="n">
        <v>3</v>
      </c>
      <c r="B5" s="4" t="inlineStr">
        <is>
          <t>IKrux Engineering</t>
        </is>
      </c>
      <c r="C5" s="11" t="inlineStr">
        <is>
          <t>21-Sep-2026</t>
        </is>
      </c>
      <c r="D5" s="4" t="inlineStr">
        <is>
          <t>Technical Consultant</t>
        </is>
      </c>
      <c r="E5" s="12" t="inlineStr">
        <is>
          <t>Amre Binnaz. M</t>
        </is>
      </c>
      <c r="F5" s="13" t="inlineStr">
        <is>
          <t>9715748143</t>
        </is>
      </c>
      <c r="G5" s="14" t="inlineStr">
        <is>
          <t>amrebinnaz@gmail.com</t>
        </is>
      </c>
      <c r="H5" s="4" t="inlineStr">
        <is>
          <t>OMS Software Solutions Pvt Ltd</t>
        </is>
      </c>
      <c r="I5" s="11" t="inlineStr">
        <is>
          <t>15 Years</t>
        </is>
      </c>
      <c r="J5" s="4" t="inlineStr">
        <is>
          <t>.Net 12 Years | React 3 Years | Azure 2 Years | Lead 5 Years | AI 0.6 Months | Client Interaction 5 Years</t>
        </is>
      </c>
      <c r="K5" s="4" t="inlineStr">
        <is>
          <t>Coimbatore</t>
        </is>
      </c>
      <c r="L5" s="14" t="inlineStr">
        <is>
          <t>Coimbatore</t>
        </is>
      </c>
      <c r="M5" s="4" t="inlineStr">
        <is>
          <t>LWD: 31 Aug 2026</t>
        </is>
      </c>
      <c r="N5" s="15" t="n">
        <v>11.7</v>
      </c>
      <c r="O5" s="15" t="n">
        <v>18</v>
      </c>
      <c r="P5" s="4" t="inlineStr">
        <is>
          <t>No</t>
        </is>
      </c>
      <c r="Q5" s="16" t="n">
        <v>0.5384615384615385</v>
      </c>
      <c r="R5" s="17" t="n">
        <v>46265</v>
      </c>
      <c r="S5" s="18" t="n">
        <v>-38</v>
      </c>
      <c r="T5" s="25" t="inlineStr">
        <is>
          <t>Available now</t>
        </is>
      </c>
      <c r="U5" s="19" t="inlineStr">
        <is>
          <t>Medium</t>
        </is>
      </c>
      <c r="V5" s="11" t="n">
        <v>3</v>
      </c>
      <c r="W5" s="20" t="n"/>
      <c r="X5" s="21" t="inlineStr">
        <is>
          <t>Yes</t>
        </is>
      </c>
      <c r="Y5" s="20" t="n"/>
      <c r="Z5" s="22" t="n"/>
      <c r="AA5" s="20" t="n"/>
      <c r="AB5" s="20" t="n"/>
      <c r="AC5" s="22" t="n"/>
      <c r="AD5" s="20" t="n"/>
      <c r="AE5" s="20" t="n"/>
      <c r="AF5" s="22" t="n"/>
      <c r="AG5" s="20" t="n"/>
      <c r="AH5" s="20" t="n"/>
      <c r="AI5" s="22" t="n"/>
      <c r="AJ5" s="20" t="n"/>
      <c r="AK5" s="20" t="n"/>
      <c r="AL5" s="23" t="n"/>
      <c r="AM5" s="20" t="n"/>
      <c r="AN5" s="20" t="n"/>
      <c r="AO5" s="24" t="n"/>
      <c r="AP5" s="22" t="n"/>
      <c r="AQ5" s="20" t="n"/>
    </row>
    <row r="6" ht="30" customHeight="1">
      <c r="A6" s="11" t="n">
        <v>4</v>
      </c>
      <c r="B6" s="4" t="inlineStr">
        <is>
          <t>IKrux Engineering</t>
        </is>
      </c>
      <c r="C6" s="11" t="inlineStr">
        <is>
          <t>21-Sep-2026</t>
        </is>
      </c>
      <c r="D6" s="4" t="inlineStr">
        <is>
          <t>Technical Consultant</t>
        </is>
      </c>
      <c r="E6" s="12" t="inlineStr">
        <is>
          <t>Adarsh Swaminathan</t>
        </is>
      </c>
      <c r="F6" s="13" t="inlineStr">
        <is>
          <t>9980345147</t>
        </is>
      </c>
      <c r="G6" s="14" t="inlineStr">
        <is>
          <t>adarshswaminathan@gmail.com</t>
        </is>
      </c>
      <c r="H6" s="4" t="inlineStr">
        <is>
          <t>Rackspace</t>
        </is>
      </c>
      <c r="I6" s="11" t="inlineStr">
        <is>
          <t>10.3 Years</t>
        </is>
      </c>
      <c r="J6" s="4" t="inlineStr">
        <is>
          <t>.Net 10.3 Years | Angular 5 Years | Azure/AWS 4 Years</t>
        </is>
      </c>
      <c r="K6" s="4" t="inlineStr">
        <is>
          <t>Chamrajnagar</t>
        </is>
      </c>
      <c r="L6" s="14" t="inlineStr">
        <is>
          <t>Coimbatore</t>
        </is>
      </c>
      <c r="M6" s="4" t="inlineStr">
        <is>
          <t>LWD: 6 Aug 2026</t>
        </is>
      </c>
      <c r="N6" s="15" t="n">
        <v>17.5</v>
      </c>
      <c r="O6" s="15" t="n">
        <v>30</v>
      </c>
      <c r="P6" s="4" t="inlineStr">
        <is>
          <t>Offer : 28 L</t>
        </is>
      </c>
      <c r="Q6" s="16" t="n">
        <v>0.7142857142857143</v>
      </c>
      <c r="R6" s="17" t="n">
        <v>46240</v>
      </c>
      <c r="S6" s="18" t="n">
        <v>-63</v>
      </c>
      <c r="T6" s="25" t="inlineStr">
        <is>
          <t>Available now</t>
        </is>
      </c>
      <c r="U6" s="19" t="inlineStr">
        <is>
          <t>Medium</t>
        </is>
      </c>
      <c r="V6" s="11" t="n">
        <v>2</v>
      </c>
      <c r="W6" s="20" t="n"/>
      <c r="X6" s="21" t="inlineStr">
        <is>
          <t>Yes</t>
        </is>
      </c>
      <c r="Y6" s="20" t="n"/>
      <c r="Z6" s="22" t="n"/>
      <c r="AA6" s="20" t="n"/>
      <c r="AB6" s="20" t="n"/>
      <c r="AC6" s="22" t="n"/>
      <c r="AD6" s="20" t="n"/>
      <c r="AE6" s="20" t="n"/>
      <c r="AF6" s="22" t="n"/>
      <c r="AG6" s="20" t="n"/>
      <c r="AH6" s="20" t="n"/>
      <c r="AI6" s="22" t="n"/>
      <c r="AJ6" s="20" t="n"/>
      <c r="AK6" s="20" t="n"/>
      <c r="AL6" s="23" t="n"/>
      <c r="AM6" s="20" t="n"/>
      <c r="AN6" s="20" t="n"/>
      <c r="AO6" s="24" t="n"/>
      <c r="AP6" s="22" t="n"/>
      <c r="AQ6" s="20" t="n"/>
    </row>
    <row r="7" ht="30" customHeight="1">
      <c r="A7" s="11" t="n">
        <v>5</v>
      </c>
      <c r="B7" s="4" t="inlineStr">
        <is>
          <t>IKrux Engineering</t>
        </is>
      </c>
      <c r="C7" s="11" t="inlineStr">
        <is>
          <t>21-Sep-2026</t>
        </is>
      </c>
      <c r="D7" s="4" t="inlineStr">
        <is>
          <t>Technical Consultant</t>
        </is>
      </c>
      <c r="E7" s="12" t="inlineStr">
        <is>
          <t>Sivakumar Varatharaj</t>
        </is>
      </c>
      <c r="F7" s="13" t="inlineStr">
        <is>
          <t>9600473436</t>
        </is>
      </c>
      <c r="G7" s="14" t="inlineStr">
        <is>
          <t>sivamailmsg@gmail.com</t>
        </is>
      </c>
      <c r="H7" s="4" t="inlineStr">
        <is>
          <t>HCLTech</t>
        </is>
      </c>
      <c r="I7" s="11" t="inlineStr">
        <is>
          <t>14 Years</t>
        </is>
      </c>
      <c r="J7" s="4" t="inlineStr">
        <is>
          <t>.Net 14 Years | Angular 5 Years | React 3 Years | Azure 5 Years</t>
        </is>
      </c>
      <c r="K7" s="4" t="inlineStr">
        <is>
          <t>Chennai</t>
        </is>
      </c>
      <c r="L7" s="14" t="inlineStr">
        <is>
          <t>Coimbatore</t>
        </is>
      </c>
      <c r="M7" s="4" t="inlineStr">
        <is>
          <t>LWD: 5 Oct 2026</t>
        </is>
      </c>
      <c r="N7" s="15" t="n">
        <v>27.4</v>
      </c>
      <c r="O7" s="15" t="n">
        <v>36</v>
      </c>
      <c r="P7" s="4" t="inlineStr">
        <is>
          <t>35 L : TCS</t>
        </is>
      </c>
      <c r="Q7" s="16" t="n">
        <v>0.3138686131386862</v>
      </c>
      <c r="R7" s="17" t="n">
        <v>46300</v>
      </c>
      <c r="S7" s="18" t="n">
        <v>-3</v>
      </c>
      <c r="T7" s="25" t="inlineStr">
        <is>
          <t>Available now</t>
        </is>
      </c>
      <c r="U7" s="19" t="inlineStr">
        <is>
          <t>Medium</t>
        </is>
      </c>
      <c r="V7" s="11" t="n">
        <v>1</v>
      </c>
      <c r="W7" s="20" t="n"/>
      <c r="X7" s="21" t="inlineStr">
        <is>
          <t>Yes</t>
        </is>
      </c>
      <c r="Y7" s="20" t="n"/>
      <c r="Z7" s="22" t="n"/>
      <c r="AA7" s="20" t="n"/>
      <c r="AB7" s="20" t="n"/>
      <c r="AC7" s="22" t="n"/>
      <c r="AD7" s="20" t="n"/>
      <c r="AE7" s="20" t="n"/>
      <c r="AF7" s="22" t="n"/>
      <c r="AG7" s="20" t="n"/>
      <c r="AH7" s="20" t="n"/>
      <c r="AI7" s="22" t="n"/>
      <c r="AJ7" s="20" t="n"/>
      <c r="AK7" s="20" t="n"/>
      <c r="AL7" s="23" t="n"/>
      <c r="AM7" s="20" t="n"/>
      <c r="AN7" s="20" t="n"/>
      <c r="AO7" s="24" t="n"/>
      <c r="AP7" s="22" t="n"/>
      <c r="AQ7" s="20" t="n"/>
    </row>
    <row r="8" ht="30" customHeight="1">
      <c r="A8" s="11" t="n">
        <v>6</v>
      </c>
      <c r="B8" s="4" t="inlineStr">
        <is>
          <t>IKrux Engineering</t>
        </is>
      </c>
      <c r="C8" s="11" t="inlineStr">
        <is>
          <t>21-Sep-2026</t>
        </is>
      </c>
      <c r="D8" s="4" t="inlineStr">
        <is>
          <t>Technical Consultant</t>
        </is>
      </c>
      <c r="E8" s="12" t="inlineStr">
        <is>
          <t>Sathya K S</t>
        </is>
      </c>
      <c r="F8" s="13" t="inlineStr">
        <is>
          <t>9976168127</t>
        </is>
      </c>
      <c r="G8" s="14" t="inlineStr">
        <is>
          <t>sathya.ks03@gmail.com</t>
        </is>
      </c>
      <c r="H8" s="4" t="inlineStr">
        <is>
          <t>cSoft Technologies</t>
        </is>
      </c>
      <c r="I8" s="11" t="inlineStr">
        <is>
          <t>12 Years</t>
        </is>
      </c>
      <c r="J8" s="4" t="inlineStr">
        <is>
          <t>Java 8 Years | React 8 Years | AWS 8 Years | Lead 3 Years | AI 1 Year | Client Interaction 4 Years</t>
        </is>
      </c>
      <c r="K8" s="4" t="inlineStr">
        <is>
          <t>Coimbatore</t>
        </is>
      </c>
      <c r="L8" s="14" t="inlineStr">
        <is>
          <t>Coimbatore</t>
        </is>
      </c>
      <c r="M8" s="4" t="inlineStr">
        <is>
          <t>LWD: 30 Sep 2026</t>
        </is>
      </c>
      <c r="N8" s="15" t="n">
        <v>20</v>
      </c>
      <c r="O8" s="15" t="n">
        <v>28</v>
      </c>
      <c r="P8" s="4" t="inlineStr">
        <is>
          <t>No</t>
        </is>
      </c>
      <c r="Q8" s="16" t="n">
        <v>0.4</v>
      </c>
      <c r="R8" s="17" t="n">
        <v>46295</v>
      </c>
      <c r="S8" s="18" t="n">
        <v>-8</v>
      </c>
      <c r="T8" s="25" t="inlineStr">
        <is>
          <t>Available now</t>
        </is>
      </c>
      <c r="U8" s="19" t="inlineStr">
        <is>
          <t>Medium</t>
        </is>
      </c>
      <c r="V8" s="11" t="n">
        <v>1</v>
      </c>
      <c r="W8" s="20" t="n"/>
      <c r="X8" s="21" t="inlineStr">
        <is>
          <t>Yes</t>
        </is>
      </c>
      <c r="Y8" s="20" t="n"/>
      <c r="Z8" s="22" t="n"/>
      <c r="AA8" s="20" t="n"/>
      <c r="AB8" s="20" t="n"/>
      <c r="AC8" s="22" t="n"/>
      <c r="AD8" s="20" t="n"/>
      <c r="AE8" s="20" t="n"/>
      <c r="AF8" s="22" t="n"/>
      <c r="AG8" s="20" t="n"/>
      <c r="AH8" s="20" t="n"/>
      <c r="AI8" s="22" t="n"/>
      <c r="AJ8" s="20" t="n"/>
      <c r="AK8" s="20" t="n"/>
      <c r="AL8" s="23" t="n"/>
      <c r="AM8" s="20" t="n"/>
      <c r="AN8" s="20" t="n"/>
      <c r="AO8" s="24" t="n"/>
      <c r="AP8" s="22" t="n"/>
      <c r="AQ8" s="20" t="n"/>
    </row>
    <row r="9" ht="30" customHeight="1">
      <c r="A9" s="11" t="n">
        <v>7</v>
      </c>
      <c r="B9" s="4" t="inlineStr">
        <is>
          <t>IKrux Engineering</t>
        </is>
      </c>
      <c r="C9" s="11" t="inlineStr">
        <is>
          <t>21-Sep-2026</t>
        </is>
      </c>
      <c r="D9" s="4" t="inlineStr">
        <is>
          <t>Technical Consultant</t>
        </is>
      </c>
      <c r="E9" s="12" t="inlineStr">
        <is>
          <t>Navin Kumar</t>
        </is>
      </c>
      <c r="F9" s="13" t="inlineStr">
        <is>
          <t>9486169060</t>
        </is>
      </c>
      <c r="G9" s="14" t="inlineStr">
        <is>
          <t>nawinnawi6@gmail.com</t>
        </is>
      </c>
      <c r="H9" s="4" t="inlineStr">
        <is>
          <t>Nagarro</t>
        </is>
      </c>
      <c r="I9" s="11" t="inlineStr">
        <is>
          <t>9 Years</t>
        </is>
      </c>
      <c r="J9" s="4" t="inlineStr">
        <is>
          <t>.Net 6 Years | Node js 2 Years | React 8 Years | Cloud 2.5 Years | Lead 1.5 Years | AI 2 Years | Client Interaction 6 Years</t>
        </is>
      </c>
      <c r="K9" s="4" t="inlineStr">
        <is>
          <t>Coimbatore</t>
        </is>
      </c>
      <c r="L9" s="14" t="inlineStr">
        <is>
          <t>Coimbatore</t>
        </is>
      </c>
      <c r="M9" s="4" t="inlineStr">
        <is>
          <t>LWD: 30 Oct 2026 (negotiable)</t>
        </is>
      </c>
      <c r="N9" s="15" t="n">
        <v>32.8</v>
      </c>
      <c r="O9" s="15" t="n">
        <v>33</v>
      </c>
      <c r="P9" s="4" t="inlineStr">
        <is>
          <t>No</t>
        </is>
      </c>
      <c r="Q9" s="16" t="n">
        <v>0.006097560975609843</v>
      </c>
      <c r="R9" s="17" t="n">
        <v>46325</v>
      </c>
      <c r="S9" s="18" t="n">
        <v>22</v>
      </c>
      <c r="T9" s="19" t="inlineStr">
        <is>
          <t>Within 30 days</t>
        </is>
      </c>
      <c r="U9" s="19" t="inlineStr">
        <is>
          <t>Medium</t>
        </is>
      </c>
      <c r="V9" s="11" t="n">
        <v>3</v>
      </c>
      <c r="W9" s="20" t="n"/>
      <c r="X9" s="21" t="inlineStr">
        <is>
          <t>Yes</t>
        </is>
      </c>
      <c r="Y9" s="20" t="n"/>
      <c r="Z9" s="22" t="n"/>
      <c r="AA9" s="20" t="n"/>
      <c r="AB9" s="20" t="n"/>
      <c r="AC9" s="22" t="n"/>
      <c r="AD9" s="20" t="n"/>
      <c r="AE9" s="20" t="n"/>
      <c r="AF9" s="22" t="n"/>
      <c r="AG9" s="20" t="n"/>
      <c r="AH9" s="20" t="n"/>
      <c r="AI9" s="22" t="n"/>
      <c r="AJ9" s="20" t="n"/>
      <c r="AK9" s="20" t="n"/>
      <c r="AL9" s="23" t="n"/>
      <c r="AM9" s="20" t="n"/>
      <c r="AN9" s="20" t="n"/>
      <c r="AO9" s="24" t="n"/>
      <c r="AP9" s="22" t="n"/>
      <c r="AQ9" s="20" t="n"/>
    </row>
    <row r="10" ht="30" customHeight="1">
      <c r="A10" s="11" t="n">
        <v>8</v>
      </c>
      <c r="B10" s="4" t="inlineStr">
        <is>
          <t>IKrux Engineering</t>
        </is>
      </c>
      <c r="C10" s="11" t="inlineStr">
        <is>
          <t>21-Sep-2026</t>
        </is>
      </c>
      <c r="D10" s="4" t="inlineStr">
        <is>
          <t>Technical Consultant</t>
        </is>
      </c>
      <c r="E10" s="12" t="inlineStr">
        <is>
          <t>Boopathi Molakgounder</t>
        </is>
      </c>
      <c r="F10" s="13" t="inlineStr">
        <is>
          <t>9688849985</t>
        </is>
      </c>
      <c r="G10" s="14" t="inlineStr">
        <is>
          <t>info2boopathi@gmail.com</t>
        </is>
      </c>
      <c r="H10" s="4" t="inlineStr">
        <is>
          <t>Capgemini</t>
        </is>
      </c>
      <c r="I10" s="11" t="inlineStr">
        <is>
          <t>13.5 Years</t>
        </is>
      </c>
      <c r="J10" s="4" t="inlineStr">
        <is>
          <t>.Net 13.5 Years | Angular 4 Years | Azure 2-3 Years</t>
        </is>
      </c>
      <c r="K10" s="4" t="inlineStr">
        <is>
          <t>Erode</t>
        </is>
      </c>
      <c r="L10" s="14" t="inlineStr">
        <is>
          <t>Coimbatore</t>
        </is>
      </c>
      <c r="M10" s="4" t="inlineStr">
        <is>
          <t>LWD: 11 Jun 2026</t>
        </is>
      </c>
      <c r="N10" s="15" t="n">
        <v>24</v>
      </c>
      <c r="O10" s="15" t="n">
        <v>30</v>
      </c>
      <c r="P10" s="26" t="inlineStr">
        <is>
          <t>Not captured</t>
        </is>
      </c>
      <c r="Q10" s="16" t="n">
        <v>0.25</v>
      </c>
      <c r="R10" s="17" t="n">
        <v>46184</v>
      </c>
      <c r="S10" s="18" t="n">
        <v>-119</v>
      </c>
      <c r="T10" s="25" t="inlineStr">
        <is>
          <t>Available now</t>
        </is>
      </c>
      <c r="U10" s="27" t="inlineStr">
        <is>
          <t>High</t>
        </is>
      </c>
      <c r="V10" s="11" t="n">
        <v>2</v>
      </c>
      <c r="W10" s="20" t="n"/>
      <c r="X10" s="21" t="inlineStr">
        <is>
          <t>Yes</t>
        </is>
      </c>
      <c r="Y10" s="20" t="n"/>
      <c r="Z10" s="22" t="n"/>
      <c r="AA10" s="20" t="n"/>
      <c r="AB10" s="20" t="n"/>
      <c r="AC10" s="22" t="n"/>
      <c r="AD10" s="20" t="n"/>
      <c r="AE10" s="20" t="n"/>
      <c r="AF10" s="22" t="n"/>
      <c r="AG10" s="20" t="n"/>
      <c r="AH10" s="20" t="n"/>
      <c r="AI10" s="22" t="n"/>
      <c r="AJ10" s="20" t="n"/>
      <c r="AK10" s="20" t="n"/>
      <c r="AL10" s="23" t="n"/>
      <c r="AM10" s="20" t="n"/>
      <c r="AN10" s="20" t="n"/>
      <c r="AO10" s="24" t="n"/>
      <c r="AP10" s="22" t="n"/>
      <c r="AQ10" s="20" t="n"/>
    </row>
    <row r="11" ht="30" customHeight="1">
      <c r="A11" s="11" t="n">
        <v>9</v>
      </c>
      <c r="B11" s="4" t="inlineStr">
        <is>
          <t>IKrux Engineering</t>
        </is>
      </c>
      <c r="C11" s="11" t="inlineStr">
        <is>
          <t>21-Sep-2026</t>
        </is>
      </c>
      <c r="D11" s="4" t="inlineStr">
        <is>
          <t>Technology Lead</t>
        </is>
      </c>
      <c r="E11" s="12" t="inlineStr">
        <is>
          <t>Ravikumar Gopal</t>
        </is>
      </c>
      <c r="F11" s="13" t="inlineStr">
        <is>
          <t>8667317072</t>
        </is>
      </c>
      <c r="G11" s="14" t="inlineStr">
        <is>
          <t>ravikumargopal93@gmail.com</t>
        </is>
      </c>
      <c r="H11" s="4" t="inlineStr">
        <is>
          <t>Bosch Global Software Technologies</t>
        </is>
      </c>
      <c r="I11" s="11" t="inlineStr">
        <is>
          <t>10.3 Years</t>
        </is>
      </c>
      <c r="J11" s="4" t="inlineStr">
        <is>
          <t>Java 10 Years | Python 5 Years | Angular 6 Years | Azure 3.5 Years | Lead 3.5 Years | Architect 2 Years</t>
        </is>
      </c>
      <c r="K11" s="4" t="inlineStr">
        <is>
          <t>Coimbatore</t>
        </is>
      </c>
      <c r="L11" s="14" t="inlineStr">
        <is>
          <t>Coimbatore</t>
        </is>
      </c>
      <c r="M11" s="4" t="inlineStr">
        <is>
          <t>LWD: 9 Oct 2026</t>
        </is>
      </c>
      <c r="N11" s="15" t="n">
        <v>22</v>
      </c>
      <c r="O11" s="15" t="n">
        <v>35</v>
      </c>
      <c r="P11" s="4" t="inlineStr">
        <is>
          <t>34 L (30 L fixed)</t>
        </is>
      </c>
      <c r="Q11" s="16" t="n">
        <v>0.5909090909090909</v>
      </c>
      <c r="R11" s="17" t="n">
        <v>46304</v>
      </c>
      <c r="S11" s="18" t="n">
        <v>1</v>
      </c>
      <c r="T11" s="19" t="inlineStr">
        <is>
          <t>Within 30 days</t>
        </is>
      </c>
      <c r="U11" s="19" t="inlineStr">
        <is>
          <t>Medium</t>
        </is>
      </c>
      <c r="V11" s="11" t="n">
        <v>1</v>
      </c>
      <c r="W11" s="20" t="n"/>
      <c r="X11" s="21" t="inlineStr">
        <is>
          <t>Yes</t>
        </is>
      </c>
      <c r="Y11" s="20" t="n"/>
      <c r="Z11" s="22" t="n"/>
      <c r="AA11" s="20" t="n"/>
      <c r="AB11" s="20" t="n"/>
      <c r="AC11" s="22" t="n"/>
      <c r="AD11" s="20" t="n"/>
      <c r="AE11" s="20" t="n"/>
      <c r="AF11" s="22" t="n"/>
      <c r="AG11" s="20" t="n"/>
      <c r="AH11" s="20" t="n"/>
      <c r="AI11" s="22" t="n"/>
      <c r="AJ11" s="20" t="n"/>
      <c r="AK11" s="20" t="n"/>
      <c r="AL11" s="23" t="n"/>
      <c r="AM11" s="20" t="n"/>
      <c r="AN11" s="20" t="n"/>
      <c r="AO11" s="24" t="n"/>
      <c r="AP11" s="22" t="n"/>
      <c r="AQ11" s="20" t="n"/>
    </row>
    <row r="12" ht="30" customHeight="1">
      <c r="A12" s="11" t="n">
        <v>10</v>
      </c>
      <c r="B12" s="4" t="inlineStr">
        <is>
          <t>IKrux Engineering</t>
        </is>
      </c>
      <c r="C12" s="11" t="inlineStr">
        <is>
          <t>21-Sep-2026</t>
        </is>
      </c>
      <c r="D12" s="4" t="inlineStr">
        <is>
          <t>Technology Lead</t>
        </is>
      </c>
      <c r="E12" s="12" t="inlineStr">
        <is>
          <t>Vaisakh P</t>
        </is>
      </c>
      <c r="F12" s="13" t="inlineStr">
        <is>
          <t>9497380591</t>
        </is>
      </c>
      <c r="G12" s="14" t="inlineStr">
        <is>
          <t>ysakhpr@gmail.com</t>
        </is>
      </c>
      <c r="H12" s="4" t="inlineStr">
        <is>
          <t>Equifax India</t>
        </is>
      </c>
      <c r="I12" s="11" t="inlineStr">
        <is>
          <t>10 Years</t>
        </is>
      </c>
      <c r="J12" s="4" t="inlineStr">
        <is>
          <t>Java 10 Years | Angular 4 Years | Spring Boot 7 Years | Microservices 7 Years | GCP 4 Years | Kafka 2 Years | Lead 6 Years</t>
        </is>
      </c>
      <c r="K12" s="4" t="inlineStr">
        <is>
          <t>Coimbatore</t>
        </is>
      </c>
      <c r="L12" s="14" t="inlineStr">
        <is>
          <t>Coimbatore</t>
        </is>
      </c>
      <c r="M12" s="4" t="inlineStr">
        <is>
          <t>LWD: 31 Aug 2026</t>
        </is>
      </c>
      <c r="N12" s="15" t="n">
        <v>25</v>
      </c>
      <c r="O12" s="15" t="n">
        <v>30</v>
      </c>
      <c r="P12" s="26" t="inlineStr">
        <is>
          <t>Not captured</t>
        </is>
      </c>
      <c r="Q12" s="16" t="n">
        <v>0.2</v>
      </c>
      <c r="R12" s="17" t="n">
        <v>46265</v>
      </c>
      <c r="S12" s="18" t="n">
        <v>-38</v>
      </c>
      <c r="T12" s="25" t="inlineStr">
        <is>
          <t>Available now</t>
        </is>
      </c>
      <c r="U12" s="27" t="inlineStr">
        <is>
          <t>High</t>
        </is>
      </c>
      <c r="V12" s="11" t="n">
        <v>3</v>
      </c>
      <c r="W12" s="20" t="n"/>
      <c r="X12" s="21" t="inlineStr">
        <is>
          <t>Yes</t>
        </is>
      </c>
      <c r="Y12" s="20" t="n"/>
      <c r="Z12" s="22" t="n"/>
      <c r="AA12" s="20" t="n"/>
      <c r="AB12" s="20" t="n"/>
      <c r="AC12" s="22" t="n"/>
      <c r="AD12" s="20" t="n"/>
      <c r="AE12" s="20" t="n"/>
      <c r="AF12" s="22" t="n"/>
      <c r="AG12" s="20" t="n"/>
      <c r="AH12" s="20" t="n"/>
      <c r="AI12" s="22" t="n"/>
      <c r="AJ12" s="20" t="n"/>
      <c r="AK12" s="20" t="n"/>
      <c r="AL12" s="23" t="n"/>
      <c r="AM12" s="20" t="n"/>
      <c r="AN12" s="20" t="n"/>
      <c r="AO12" s="24" t="n"/>
      <c r="AP12" s="22" t="n"/>
      <c r="AQ12" s="20" t="n"/>
    </row>
    <row r="13" ht="30" customHeight="1">
      <c r="A13" s="11" t="n">
        <v>11</v>
      </c>
      <c r="B13" s="4" t="inlineStr">
        <is>
          <t>IKrux Engineering</t>
        </is>
      </c>
      <c r="C13" s="11" t="inlineStr">
        <is>
          <t>21-Sep-2026</t>
        </is>
      </c>
      <c r="D13" s="4" t="inlineStr">
        <is>
          <t>Technology Lead</t>
        </is>
      </c>
      <c r="E13" s="12" t="inlineStr">
        <is>
          <t>Sandhosh Kumar</t>
        </is>
      </c>
      <c r="F13" s="13" t="inlineStr">
        <is>
          <t>9787574827</t>
        </is>
      </c>
      <c r="G13" s="14" t="inlineStr">
        <is>
          <t>sandhosh.javascript@gmail.com</t>
        </is>
      </c>
      <c r="H13" s="4" t="inlineStr">
        <is>
          <t>Wipro</t>
        </is>
      </c>
      <c r="I13" s="11" t="inlineStr">
        <is>
          <t>12 Years</t>
        </is>
      </c>
      <c r="J13" s="4" t="inlineStr">
        <is>
          <t>Python 3 Years | React 5 Years | Node 8 Years | Cloud 4+ Years | Lead 5 Years</t>
        </is>
      </c>
      <c r="K13" s="4" t="inlineStr">
        <is>
          <t>Coimbatore</t>
        </is>
      </c>
      <c r="L13" s="14" t="inlineStr">
        <is>
          <t>Coimbatore</t>
        </is>
      </c>
      <c r="M13" s="4" t="inlineStr">
        <is>
          <t>LWD: 29 Aug 2026</t>
        </is>
      </c>
      <c r="N13" s="15" t="n">
        <v>24</v>
      </c>
      <c r="O13" s="15" t="n">
        <v>30</v>
      </c>
      <c r="P13" s="4" t="inlineStr">
        <is>
          <t>No</t>
        </is>
      </c>
      <c r="Q13" s="16" t="n">
        <v>0.25</v>
      </c>
      <c r="R13" s="17" t="n">
        <v>46263</v>
      </c>
      <c r="S13" s="18" t="n">
        <v>-40</v>
      </c>
      <c r="T13" s="25" t="inlineStr">
        <is>
          <t>Available now</t>
        </is>
      </c>
      <c r="U13" s="19" t="inlineStr">
        <is>
          <t>Medium</t>
        </is>
      </c>
      <c r="V13" s="11" t="n">
        <v>2</v>
      </c>
      <c r="W13" s="20" t="n"/>
      <c r="X13" s="21" t="inlineStr">
        <is>
          <t>Yes</t>
        </is>
      </c>
      <c r="Y13" s="20" t="n"/>
      <c r="Z13" s="22" t="n"/>
      <c r="AA13" s="20" t="n"/>
      <c r="AB13" s="20" t="n"/>
      <c r="AC13" s="22" t="n"/>
      <c r="AD13" s="20" t="n"/>
      <c r="AE13" s="20" t="n"/>
      <c r="AF13" s="22" t="n"/>
      <c r="AG13" s="20" t="n"/>
      <c r="AH13" s="20" t="n"/>
      <c r="AI13" s="22" t="n"/>
      <c r="AJ13" s="20" t="n"/>
      <c r="AK13" s="20" t="n"/>
      <c r="AL13" s="23" t="n"/>
      <c r="AM13" s="20" t="n"/>
      <c r="AN13" s="20" t="n"/>
      <c r="AO13" s="24" t="n"/>
      <c r="AP13" s="22" t="n"/>
      <c r="AQ13" s="20" t="n"/>
    </row>
    <row r="14" ht="30" customHeight="1">
      <c r="A14" s="11" t="n">
        <v>12</v>
      </c>
      <c r="B14" s="4" t="inlineStr">
        <is>
          <t>IKrux Engineering</t>
        </is>
      </c>
      <c r="C14" s="11" t="inlineStr">
        <is>
          <t>21-Sep-2026</t>
        </is>
      </c>
      <c r="D14" s="4" t="inlineStr">
        <is>
          <t>Technology Lead</t>
        </is>
      </c>
      <c r="E14" s="12" t="inlineStr">
        <is>
          <t>Karthy</t>
        </is>
      </c>
      <c r="F14" s="13" t="inlineStr">
        <is>
          <t>9092879950</t>
        </is>
      </c>
      <c r="G14" s="14" t="inlineStr">
        <is>
          <t>karthyperiyasamy@gmail.com</t>
        </is>
      </c>
      <c r="H14" s="4" t="inlineStr">
        <is>
          <t>Tartlabs</t>
        </is>
      </c>
      <c r="I14" s="11" t="inlineStr">
        <is>
          <t>12 Years</t>
        </is>
      </c>
      <c r="J14" s="4" t="inlineStr">
        <is>
          <t>.Net 9 Years | React 7 Years | Cloud 4 Years | Lead 5+ Years</t>
        </is>
      </c>
      <c r="K14" s="4" t="inlineStr">
        <is>
          <t>Coimbatore</t>
        </is>
      </c>
      <c r="L14" s="14" t="inlineStr">
        <is>
          <t>Coimbatore</t>
        </is>
      </c>
      <c r="M14" s="4" t="inlineStr">
        <is>
          <t>LWD: 5 Oct 2026</t>
        </is>
      </c>
      <c r="N14" s="15" t="n">
        <v>17</v>
      </c>
      <c r="O14" s="15" t="n">
        <v>25</v>
      </c>
      <c r="P14" s="4" t="inlineStr">
        <is>
          <t>No</t>
        </is>
      </c>
      <c r="Q14" s="16" t="n">
        <v>0.4705882352941176</v>
      </c>
      <c r="R14" s="17" t="n">
        <v>46300</v>
      </c>
      <c r="S14" s="18" t="n">
        <v>-3</v>
      </c>
      <c r="T14" s="25" t="inlineStr">
        <is>
          <t>Available now</t>
        </is>
      </c>
      <c r="U14" s="27" t="inlineStr">
        <is>
          <t>High</t>
        </is>
      </c>
      <c r="V14" s="11" t="n">
        <v>2</v>
      </c>
      <c r="W14" s="20" t="n"/>
      <c r="X14" s="21" t="inlineStr">
        <is>
          <t>Yes</t>
        </is>
      </c>
      <c r="Y14" s="20" t="n"/>
      <c r="Z14" s="22" t="n"/>
      <c r="AA14" s="20" t="n"/>
      <c r="AB14" s="20" t="n"/>
      <c r="AC14" s="22" t="n"/>
      <c r="AD14" s="20" t="n"/>
      <c r="AE14" s="20" t="n"/>
      <c r="AF14" s="22" t="n"/>
      <c r="AG14" s="20" t="n"/>
      <c r="AH14" s="20" t="n"/>
      <c r="AI14" s="22" t="n"/>
      <c r="AJ14" s="20" t="n"/>
      <c r="AK14" s="20" t="n"/>
      <c r="AL14" s="23" t="n"/>
      <c r="AM14" s="20" t="n"/>
      <c r="AN14" s="20" t="n"/>
      <c r="AO14" s="24" t="n"/>
      <c r="AP14" s="22" t="n"/>
      <c r="AQ14" s="20" t="n"/>
    </row>
    <row r="15" ht="30" customHeight="1">
      <c r="A15" s="11" t="n">
        <v>13</v>
      </c>
      <c r="B15" s="4" t="inlineStr">
        <is>
          <t>IKrux Engineering</t>
        </is>
      </c>
      <c r="C15" s="11" t="inlineStr">
        <is>
          <t>21-Sep-2026</t>
        </is>
      </c>
      <c r="D15" s="4" t="inlineStr">
        <is>
          <t>Senior Software Engineer</t>
        </is>
      </c>
      <c r="E15" s="12" t="inlineStr">
        <is>
          <t>Adhithyan C</t>
        </is>
      </c>
      <c r="F15" s="13" t="inlineStr">
        <is>
          <t>8939173477</t>
        </is>
      </c>
      <c r="G15" s="14" t="inlineStr">
        <is>
          <t>adhithyancheralathan@gmail.com</t>
        </is>
      </c>
      <c r="H15" s="4" t="inlineStr">
        <is>
          <t>CE Products</t>
        </is>
      </c>
      <c r="I15" s="11" t="inlineStr">
        <is>
          <t>5 Years</t>
        </is>
      </c>
      <c r="J15" s="4" t="inlineStr">
        <is>
          <t>5 Years</t>
        </is>
      </c>
      <c r="K15" s="4" t="inlineStr">
        <is>
          <t>Chennai</t>
        </is>
      </c>
      <c r="L15" s="14" t="inlineStr">
        <is>
          <t>Coimbatore</t>
        </is>
      </c>
      <c r="M15" s="4" t="inlineStr">
        <is>
          <t>LWD: 24 Sep 2026</t>
        </is>
      </c>
      <c r="N15" s="15" t="n">
        <v>7.5</v>
      </c>
      <c r="O15" s="15" t="n">
        <v>15</v>
      </c>
      <c r="P15" s="26" t="inlineStr">
        <is>
          <t>Not captured</t>
        </is>
      </c>
      <c r="Q15" s="16" t="n">
        <v>1</v>
      </c>
      <c r="R15" s="17" t="n">
        <v>46289</v>
      </c>
      <c r="S15" s="18" t="n">
        <v>-14</v>
      </c>
      <c r="T15" s="25" t="inlineStr">
        <is>
          <t>Available now</t>
        </is>
      </c>
      <c r="U15" s="11" t="inlineStr">
        <is>
          <t>None</t>
        </is>
      </c>
      <c r="V15" s="11" t="n">
        <v>0</v>
      </c>
      <c r="W15" s="20" t="n"/>
      <c r="X15" s="21" t="inlineStr">
        <is>
          <t>Yes</t>
        </is>
      </c>
      <c r="Y15" s="20" t="n"/>
      <c r="Z15" s="22" t="n"/>
      <c r="AA15" s="20" t="n"/>
      <c r="AB15" s="20" t="n"/>
      <c r="AC15" s="22" t="n"/>
      <c r="AD15" s="20" t="n"/>
      <c r="AE15" s="20" t="n"/>
      <c r="AF15" s="22" t="n"/>
      <c r="AG15" s="20" t="n"/>
      <c r="AH15" s="20" t="n"/>
      <c r="AI15" s="22" t="n"/>
      <c r="AJ15" s="20" t="n"/>
      <c r="AK15" s="20" t="n"/>
      <c r="AL15" s="23" t="n"/>
      <c r="AM15" s="20" t="n"/>
      <c r="AN15" s="20" t="n"/>
      <c r="AO15" s="24" t="n"/>
      <c r="AP15" s="22" t="n"/>
      <c r="AQ15" s="20" t="n"/>
    </row>
    <row r="16" ht="30" customHeight="1">
      <c r="A16" s="11" t="n">
        <v>14</v>
      </c>
      <c r="B16" s="4" t="inlineStr">
        <is>
          <t>IKrux Engineering</t>
        </is>
      </c>
      <c r="C16" s="11" t="inlineStr">
        <is>
          <t>21-Sep-2026</t>
        </is>
      </c>
      <c r="D16" s="4" t="inlineStr">
        <is>
          <t>Senior Software Engineer</t>
        </is>
      </c>
      <c r="E16" s="12" t="inlineStr">
        <is>
          <t>Manoj</t>
        </is>
      </c>
      <c r="F16" s="13" t="inlineStr">
        <is>
          <t>7810090328</t>
        </is>
      </c>
      <c r="G16" s="14" t="inlineStr">
        <is>
          <t>connectmanoj.in@gmail.com</t>
        </is>
      </c>
      <c r="H16" s="4" t="inlineStr">
        <is>
          <t>Tata Consultancy Services</t>
        </is>
      </c>
      <c r="I16" s="11" t="inlineStr">
        <is>
          <t>5.2 Years</t>
        </is>
      </c>
      <c r="J16" s="4" t="inlineStr">
        <is>
          <t>5.2 Years</t>
        </is>
      </c>
      <c r="K16" s="4" t="inlineStr">
        <is>
          <t>Bangalore / Coimbatore</t>
        </is>
      </c>
      <c r="L16" s="14" t="inlineStr">
        <is>
          <t>Coimbatore</t>
        </is>
      </c>
      <c r="M16" s="4" t="inlineStr">
        <is>
          <t>LWD: 9 Sep 2026</t>
        </is>
      </c>
      <c r="N16" s="15" t="n">
        <v>8.5</v>
      </c>
      <c r="O16" s="15" t="n">
        <v>14</v>
      </c>
      <c r="P16" s="26" t="inlineStr">
        <is>
          <t>Not captured</t>
        </is>
      </c>
      <c r="Q16" s="16" t="n">
        <v>0.6470588235294118</v>
      </c>
      <c r="R16" s="17" t="n">
        <v>46274</v>
      </c>
      <c r="S16" s="18" t="n">
        <v>-29</v>
      </c>
      <c r="T16" s="25" t="inlineStr">
        <is>
          <t>Available now</t>
        </is>
      </c>
      <c r="U16" s="27" t="inlineStr">
        <is>
          <t>High</t>
        </is>
      </c>
      <c r="V16" s="11" t="n">
        <v>2</v>
      </c>
      <c r="W16" s="20" t="n"/>
      <c r="X16" s="21" t="inlineStr">
        <is>
          <t>Yes</t>
        </is>
      </c>
      <c r="Y16" s="20" t="n"/>
      <c r="Z16" s="22" t="n"/>
      <c r="AA16" s="20" t="n"/>
      <c r="AB16" s="20" t="n"/>
      <c r="AC16" s="22" t="n"/>
      <c r="AD16" s="20" t="n"/>
      <c r="AE16" s="20" t="n"/>
      <c r="AF16" s="22" t="n"/>
      <c r="AG16" s="20" t="n"/>
      <c r="AH16" s="20" t="n"/>
      <c r="AI16" s="22" t="n"/>
      <c r="AJ16" s="20" t="n"/>
      <c r="AK16" s="20" t="n"/>
      <c r="AL16" s="23" t="n"/>
      <c r="AM16" s="20" t="n"/>
      <c r="AN16" s="20" t="n"/>
      <c r="AO16" s="24" t="n"/>
      <c r="AP16" s="22" t="n"/>
      <c r="AQ16" s="20" t="n"/>
    </row>
    <row r="17" ht="30" customHeight="1">
      <c r="A17" s="11" t="n">
        <v>15</v>
      </c>
      <c r="B17" s="4" t="inlineStr">
        <is>
          <t>IKrux Engineering</t>
        </is>
      </c>
      <c r="C17" s="11" t="inlineStr">
        <is>
          <t>21-Sep-2026</t>
        </is>
      </c>
      <c r="D17" s="4" t="inlineStr">
        <is>
          <t>Senior Software Engineer</t>
        </is>
      </c>
      <c r="E17" s="12" t="inlineStr">
        <is>
          <t>Sankar Ponnusamy</t>
        </is>
      </c>
      <c r="F17" s="13" t="inlineStr">
        <is>
          <t>9994256491</t>
        </is>
      </c>
      <c r="G17" s="14" t="inlineStr">
        <is>
          <t>sankarmailing@gmail.com</t>
        </is>
      </c>
      <c r="H17" s="4" t="inlineStr">
        <is>
          <t>Tata Consultancy Services</t>
        </is>
      </c>
      <c r="I17" s="11" t="inlineStr">
        <is>
          <t>11.2 Years</t>
        </is>
      </c>
      <c r="J17" s="4" t="inlineStr">
        <is>
          <t>6.3 Years relevant</t>
        </is>
      </c>
      <c r="K17" s="4" t="inlineStr">
        <is>
          <t>Erode</t>
        </is>
      </c>
      <c r="L17" s="14" t="inlineStr">
        <is>
          <t>Coimbatore</t>
        </is>
      </c>
      <c r="M17" s="4" t="inlineStr">
        <is>
          <t>LWD: 14 Aug 2026</t>
        </is>
      </c>
      <c r="N17" s="15" t="n">
        <v>7.12</v>
      </c>
      <c r="O17" s="15" t="n">
        <v>14</v>
      </c>
      <c r="P17" s="26" t="inlineStr">
        <is>
          <t>Not captured</t>
        </is>
      </c>
      <c r="Q17" s="16" t="n">
        <v>0.9662921348314606</v>
      </c>
      <c r="R17" s="17" t="n">
        <v>46248</v>
      </c>
      <c r="S17" s="18" t="n">
        <v>-55</v>
      </c>
      <c r="T17" s="25" t="inlineStr">
        <is>
          <t>Available now</t>
        </is>
      </c>
      <c r="U17" s="27" t="inlineStr">
        <is>
          <t>High</t>
        </is>
      </c>
      <c r="V17" s="11" t="n">
        <v>2</v>
      </c>
      <c r="W17" s="20" t="n"/>
      <c r="X17" s="21" t="inlineStr">
        <is>
          <t>Yes</t>
        </is>
      </c>
      <c r="Y17" s="20" t="n"/>
      <c r="Z17" s="22" t="n"/>
      <c r="AA17" s="20" t="n"/>
      <c r="AB17" s="20" t="n"/>
      <c r="AC17" s="22" t="n"/>
      <c r="AD17" s="20" t="n"/>
      <c r="AE17" s="20" t="n"/>
      <c r="AF17" s="22" t="n"/>
      <c r="AG17" s="20" t="n"/>
      <c r="AH17" s="20" t="n"/>
      <c r="AI17" s="22" t="n"/>
      <c r="AJ17" s="20" t="n"/>
      <c r="AK17" s="20" t="n"/>
      <c r="AL17" s="23" t="n"/>
      <c r="AM17" s="20" t="n"/>
      <c r="AN17" s="20" t="n"/>
      <c r="AO17" s="24" t="n"/>
      <c r="AP17" s="22" t="n"/>
      <c r="AQ17" s="20" t="n"/>
    </row>
    <row r="18" ht="30" customHeight="1">
      <c r="A18" s="11" t="n">
        <v>16</v>
      </c>
      <c r="B18" s="4" t="inlineStr">
        <is>
          <t>IKrux Engineering</t>
        </is>
      </c>
      <c r="C18" s="11" t="inlineStr">
        <is>
          <t>21-Sep-2026</t>
        </is>
      </c>
      <c r="D18" s="4" t="inlineStr">
        <is>
          <t>Senior Software Engineer</t>
        </is>
      </c>
      <c r="E18" s="12" t="inlineStr">
        <is>
          <t>Shanmuga raja</t>
        </is>
      </c>
      <c r="F18" s="13" t="inlineStr">
        <is>
          <t>9600029567</t>
        </is>
      </c>
      <c r="G18" s="14" t="inlineStr">
        <is>
          <t>shanmugarajamanikam@gmail.com</t>
        </is>
      </c>
      <c r="H18" s="4" t="inlineStr">
        <is>
          <t>CE Products</t>
        </is>
      </c>
      <c r="I18" s="11" t="inlineStr">
        <is>
          <t>5.3 Years</t>
        </is>
      </c>
      <c r="J18" s="4" t="inlineStr">
        <is>
          <t>5 Years</t>
        </is>
      </c>
      <c r="K18" s="4" t="inlineStr">
        <is>
          <t>Chennai</t>
        </is>
      </c>
      <c r="L18" s="14" t="inlineStr">
        <is>
          <t>Coimbatore</t>
        </is>
      </c>
      <c r="M18" s="4" t="inlineStr">
        <is>
          <t>LWD: 28 Sep 2026</t>
        </is>
      </c>
      <c r="N18" s="15" t="n">
        <v>6.1</v>
      </c>
      <c r="O18" s="15" t="n">
        <v>10</v>
      </c>
      <c r="P18" s="4" t="inlineStr">
        <is>
          <t>No</t>
        </is>
      </c>
      <c r="Q18" s="16" t="n">
        <v>0.639344262295082</v>
      </c>
      <c r="R18" s="17" t="n">
        <v>46293</v>
      </c>
      <c r="S18" s="18" t="n">
        <v>-10</v>
      </c>
      <c r="T18" s="25" t="inlineStr">
        <is>
          <t>Available now</t>
        </is>
      </c>
      <c r="U18" s="27" t="inlineStr">
        <is>
          <t>High</t>
        </is>
      </c>
      <c r="V18" s="11" t="n">
        <v>3</v>
      </c>
      <c r="W18" s="20" t="n"/>
      <c r="X18" s="21" t="inlineStr">
        <is>
          <t>Yes</t>
        </is>
      </c>
      <c r="Y18" s="20" t="n"/>
      <c r="Z18" s="22" t="n"/>
      <c r="AA18" s="20" t="n"/>
      <c r="AB18" s="20" t="n"/>
      <c r="AC18" s="22" t="n"/>
      <c r="AD18" s="20" t="n"/>
      <c r="AE18" s="20" t="n"/>
      <c r="AF18" s="22" t="n"/>
      <c r="AG18" s="20" t="n"/>
      <c r="AH18" s="20" t="n"/>
      <c r="AI18" s="22" t="n"/>
      <c r="AJ18" s="20" t="n"/>
      <c r="AK18" s="20" t="n"/>
      <c r="AL18" s="23" t="n"/>
      <c r="AM18" s="20" t="n"/>
      <c r="AN18" s="20" t="n"/>
      <c r="AO18" s="24" t="n"/>
      <c r="AP18" s="22" t="n"/>
      <c r="AQ18" s="20" t="n"/>
    </row>
    <row r="19" ht="30" customHeight="1">
      <c r="A19" s="11" t="n">
        <v>17</v>
      </c>
      <c r="B19" s="4" t="inlineStr">
        <is>
          <t>IKrux Engineering</t>
        </is>
      </c>
      <c r="C19" s="11" t="inlineStr">
        <is>
          <t>21-Sep-2026</t>
        </is>
      </c>
      <c r="D19" s="4" t="inlineStr">
        <is>
          <t>Senior Software Engineer</t>
        </is>
      </c>
      <c r="E19" s="12" t="inlineStr">
        <is>
          <t>Srinidhi Ravi</t>
        </is>
      </c>
      <c r="F19" s="13" t="inlineStr">
        <is>
          <t>9962308335</t>
        </is>
      </c>
      <c r="G19" s="14" t="inlineStr">
        <is>
          <t>srini3998@gmail.com</t>
        </is>
      </c>
      <c r="H19" s="4" t="inlineStr">
        <is>
          <t>LTIMindtree</t>
        </is>
      </c>
      <c r="I19" s="11" t="inlineStr">
        <is>
          <t>5.6 Years</t>
        </is>
      </c>
      <c r="J19" s="4" t="inlineStr">
        <is>
          <t>5 Years</t>
        </is>
      </c>
      <c r="K19" s="4" t="inlineStr">
        <is>
          <t>Chennai</t>
        </is>
      </c>
      <c r="L19" s="14" t="inlineStr">
        <is>
          <t>Coimbatore</t>
        </is>
      </c>
      <c r="M19" s="4" t="inlineStr">
        <is>
          <t>LWD: 10 Oct 2026</t>
        </is>
      </c>
      <c r="N19" s="15" t="n">
        <v>14</v>
      </c>
      <c r="O19" s="15" t="n">
        <v>18</v>
      </c>
      <c r="P19" s="4" t="inlineStr">
        <is>
          <t>No</t>
        </is>
      </c>
      <c r="Q19" s="16" t="n">
        <v>0.2857142857142857</v>
      </c>
      <c r="R19" s="17" t="n">
        <v>46305</v>
      </c>
      <c r="S19" s="18" t="n">
        <v>2</v>
      </c>
      <c r="T19" s="19" t="inlineStr">
        <is>
          <t>Within 30 days</t>
        </is>
      </c>
      <c r="U19" s="19" t="inlineStr">
        <is>
          <t>Medium</t>
        </is>
      </c>
      <c r="V19" s="11" t="n">
        <v>1</v>
      </c>
      <c r="W19" s="20" t="n"/>
      <c r="X19" s="21" t="inlineStr">
        <is>
          <t>Yes</t>
        </is>
      </c>
      <c r="Y19" s="20" t="n"/>
      <c r="Z19" s="22" t="n"/>
      <c r="AA19" s="20" t="n"/>
      <c r="AB19" s="20" t="n"/>
      <c r="AC19" s="22" t="n"/>
      <c r="AD19" s="20" t="n"/>
      <c r="AE19" s="20" t="n"/>
      <c r="AF19" s="22" t="n"/>
      <c r="AG19" s="20" t="n"/>
      <c r="AH19" s="20" t="n"/>
      <c r="AI19" s="22" t="n"/>
      <c r="AJ19" s="20" t="n"/>
      <c r="AK19" s="20" t="n"/>
      <c r="AL19" s="23" t="n"/>
      <c r="AM19" s="20" t="n"/>
      <c r="AN19" s="20" t="n"/>
      <c r="AO19" s="24" t="n"/>
      <c r="AP19" s="22" t="n"/>
      <c r="AQ19" s="20" t="n"/>
    </row>
    <row r="20" ht="30" customHeight="1">
      <c r="A20" s="11" t="n">
        <v>18</v>
      </c>
      <c r="B20" s="4" t="inlineStr">
        <is>
          <t>Direct</t>
        </is>
      </c>
      <c r="C20" s="11" t="inlineStr">
        <is>
          <t>6-Oct-2026</t>
        </is>
      </c>
      <c r="D20" s="4" t="inlineStr">
        <is>
          <t>Technology Lead</t>
        </is>
      </c>
      <c r="E20" s="12" t="inlineStr">
        <is>
          <t>Prince Kumar P</t>
        </is>
      </c>
      <c r="F20" s="13" t="inlineStr">
        <is>
          <t>9952293271</t>
        </is>
      </c>
      <c r="G20" s="14" t="inlineStr">
        <is>
          <t>princekumar27.cse@gmail.com</t>
        </is>
      </c>
      <c r="H20" s="4" t="inlineStr">
        <is>
          <t>Virtusa Consulting Services</t>
        </is>
      </c>
      <c r="I20" s="11" t="inlineStr">
        <is>
          <t>16 Years</t>
        </is>
      </c>
      <c r="J20" s="4" t="inlineStr">
        <is>
          <t>Java 5 Years | Node js 7 Years | Angular 9 Years | React 5 Years | AWS | Kafka | Lead 6 Years</t>
        </is>
      </c>
      <c r="K20" s="4" t="inlineStr">
        <is>
          <t>Chennai</t>
        </is>
      </c>
      <c r="L20" s="14" t="inlineStr">
        <is>
          <t>Coimbatore</t>
        </is>
      </c>
      <c r="M20" s="4" t="inlineStr">
        <is>
          <t>Not captured</t>
        </is>
      </c>
      <c r="N20" s="28" t="inlineStr">
        <is>
          <t>Not captured</t>
        </is>
      </c>
      <c r="O20" s="28" t="inlineStr">
        <is>
          <t>Not captured</t>
        </is>
      </c>
      <c r="P20" s="26" t="inlineStr">
        <is>
          <t>Not captured</t>
        </is>
      </c>
      <c r="Q20" s="16" t="inlineStr"/>
      <c r="R20" s="17" t="inlineStr"/>
      <c r="S20" s="18" t="inlineStr"/>
      <c r="T20" s="11" t="inlineStr">
        <is>
          <t>Not captured</t>
        </is>
      </c>
      <c r="U20" s="19" t="inlineStr">
        <is>
          <t>Medium</t>
        </is>
      </c>
      <c r="V20" s="11" t="n">
        <v>2</v>
      </c>
      <c r="W20" s="20" t="n"/>
      <c r="X20" s="21" t="inlineStr">
        <is>
          <t>Yes</t>
        </is>
      </c>
      <c r="Y20" s="20" t="n"/>
      <c r="Z20" s="22" t="n"/>
      <c r="AA20" s="20" t="n"/>
      <c r="AB20" s="20" t="n"/>
      <c r="AC20" s="22" t="n"/>
      <c r="AD20" s="20" t="n"/>
      <c r="AE20" s="20" t="n"/>
      <c r="AF20" s="22" t="n"/>
      <c r="AG20" s="20" t="n"/>
      <c r="AH20" s="20" t="n"/>
      <c r="AI20" s="22" t="n"/>
      <c r="AJ20" s="20" t="n"/>
      <c r="AK20" s="20" t="n"/>
      <c r="AL20" s="23" t="n"/>
      <c r="AM20" s="20" t="n"/>
      <c r="AN20" s="20" t="n"/>
      <c r="AO20" s="24" t="n"/>
      <c r="AP20" s="22" t="n"/>
      <c r="AQ20" s="20" t="n"/>
    </row>
    <row r="21" ht="30" customHeight="1">
      <c r="A21" s="11" t="n">
        <v>19</v>
      </c>
      <c r="B21" s="4" t="inlineStr">
        <is>
          <t>Direct</t>
        </is>
      </c>
      <c r="C21" s="11" t="inlineStr">
        <is>
          <t>6-Oct-2026</t>
        </is>
      </c>
      <c r="D21" s="4" t="inlineStr">
        <is>
          <t>Technology Lead</t>
        </is>
      </c>
      <c r="E21" s="12" t="inlineStr">
        <is>
          <t>Gangasri Paramasivam</t>
        </is>
      </c>
      <c r="F21" s="13" t="inlineStr">
        <is>
          <t>9965554784</t>
        </is>
      </c>
      <c r="G21" s="14" t="inlineStr">
        <is>
          <t>p.gangasri@gmail.com</t>
        </is>
      </c>
      <c r="H21" s="4" t="inlineStr">
        <is>
          <t>Tech Mahindra</t>
        </is>
      </c>
      <c r="I21" s="11" t="inlineStr">
        <is>
          <t>11.3 Years</t>
        </is>
      </c>
      <c r="J21" s="4" t="inlineStr">
        <is>
          <t>Java 11 Years | Spring Boot | Apache Camel | React | Node | Kafka | Lead 6 Years</t>
        </is>
      </c>
      <c r="K21" s="4" t="inlineStr">
        <is>
          <t>Coimbatore</t>
        </is>
      </c>
      <c r="L21" s="14" t="inlineStr">
        <is>
          <t>Coimbatore</t>
        </is>
      </c>
      <c r="M21" s="4" t="inlineStr">
        <is>
          <t>Not captured</t>
        </is>
      </c>
      <c r="N21" s="28" t="inlineStr">
        <is>
          <t>Not captured</t>
        </is>
      </c>
      <c r="O21" s="28" t="inlineStr">
        <is>
          <t>Not captured</t>
        </is>
      </c>
      <c r="P21" s="26" t="inlineStr">
        <is>
          <t>Not captured</t>
        </is>
      </c>
      <c r="Q21" s="16" t="inlineStr"/>
      <c r="R21" s="17" t="inlineStr"/>
      <c r="S21" s="18" t="inlineStr"/>
      <c r="T21" s="11" t="inlineStr">
        <is>
          <t>Not captured</t>
        </is>
      </c>
      <c r="U21" s="11" t="inlineStr">
        <is>
          <t>None</t>
        </is>
      </c>
      <c r="V21" s="11" t="n">
        <v>0</v>
      </c>
      <c r="W21" s="20" t="n"/>
      <c r="X21" s="21" t="inlineStr">
        <is>
          <t>Yes</t>
        </is>
      </c>
      <c r="Y21" s="20" t="n"/>
      <c r="Z21" s="22" t="n"/>
      <c r="AA21" s="20" t="n"/>
      <c r="AB21" s="20" t="n"/>
      <c r="AC21" s="22" t="n"/>
      <c r="AD21" s="20" t="n"/>
      <c r="AE21" s="20" t="n"/>
      <c r="AF21" s="22" t="n"/>
      <c r="AG21" s="20" t="n"/>
      <c r="AH21" s="20" t="n"/>
      <c r="AI21" s="22" t="n"/>
      <c r="AJ21" s="20" t="n"/>
      <c r="AK21" s="20" t="n"/>
      <c r="AL21" s="23" t="n"/>
      <c r="AM21" s="20" t="n"/>
      <c r="AN21" s="20" t="n"/>
      <c r="AO21" s="24" t="n"/>
      <c r="AP21" s="22" t="n"/>
      <c r="AQ21" s="20" t="n"/>
    </row>
    <row r="22" ht="30" customHeight="1">
      <c r="A22" s="11" t="n">
        <v>20</v>
      </c>
      <c r="B22" s="4" t="inlineStr">
        <is>
          <t>Direct</t>
        </is>
      </c>
      <c r="C22" s="11" t="inlineStr">
        <is>
          <t>6-Oct-2026</t>
        </is>
      </c>
      <c r="D22" s="4" t="inlineStr">
        <is>
          <t>Technology Lead</t>
        </is>
      </c>
      <c r="E22" s="12" t="inlineStr">
        <is>
          <t>Gunavadhi A S</t>
        </is>
      </c>
      <c r="F22" s="13" t="inlineStr">
        <is>
          <t>9942254283</t>
        </is>
      </c>
      <c r="G22" s="14" t="inlineStr">
        <is>
          <t>gunavadhir@gmail.com</t>
        </is>
      </c>
      <c r="H22" s="4" t="inlineStr">
        <is>
          <t>Tech Mahindra</t>
        </is>
      </c>
      <c r="I22" s="11" t="inlineStr">
        <is>
          <t>11 Years</t>
        </is>
      </c>
      <c r="J22" s="4" t="inlineStr">
        <is>
          <t>Java 11 Years | Spring Boot | React 4 Years | Angular 4-7 | Kafka | Docker/K8s | Lead 4 Years</t>
        </is>
      </c>
      <c r="K22" s="4" t="inlineStr">
        <is>
          <t>Coimbatore</t>
        </is>
      </c>
      <c r="L22" s="14" t="inlineStr">
        <is>
          <t>Coimbatore</t>
        </is>
      </c>
      <c r="M22" s="4" t="inlineStr">
        <is>
          <t>Not captured</t>
        </is>
      </c>
      <c r="N22" s="28" t="inlineStr">
        <is>
          <t>Not captured</t>
        </is>
      </c>
      <c r="O22" s="28" t="inlineStr">
        <is>
          <t>Not captured</t>
        </is>
      </c>
      <c r="P22" s="26" t="inlineStr">
        <is>
          <t>Not captured</t>
        </is>
      </c>
      <c r="Q22" s="16" t="inlineStr"/>
      <c r="R22" s="17" t="inlineStr"/>
      <c r="S22" s="18" t="inlineStr"/>
      <c r="T22" s="11" t="inlineStr">
        <is>
          <t>Not captured</t>
        </is>
      </c>
      <c r="U22" s="19" t="inlineStr">
        <is>
          <t>Medium</t>
        </is>
      </c>
      <c r="V22" s="11" t="n">
        <v>2</v>
      </c>
      <c r="W22" s="20" t="n"/>
      <c r="X22" s="21" t="inlineStr">
        <is>
          <t>Yes</t>
        </is>
      </c>
      <c r="Y22" s="20" t="n"/>
      <c r="Z22" s="22" t="n"/>
      <c r="AA22" s="20" t="n"/>
      <c r="AB22" s="20" t="n"/>
      <c r="AC22" s="22" t="n"/>
      <c r="AD22" s="20" t="n"/>
      <c r="AE22" s="20" t="n"/>
      <c r="AF22" s="22" t="n"/>
      <c r="AG22" s="20" t="n"/>
      <c r="AH22" s="20" t="n"/>
      <c r="AI22" s="22" t="n"/>
      <c r="AJ22" s="20" t="n"/>
      <c r="AK22" s="20" t="n"/>
      <c r="AL22" s="23" t="n"/>
      <c r="AM22" s="20" t="n"/>
      <c r="AN22" s="20" t="n"/>
      <c r="AO22" s="24" t="n"/>
      <c r="AP22" s="22" t="n"/>
      <c r="AQ22" s="20" t="n"/>
    </row>
    <row r="23" ht="30" customHeight="1">
      <c r="A23" s="11" t="n">
        <v>21</v>
      </c>
      <c r="B23" s="4" t="inlineStr">
        <is>
          <t>Direct</t>
        </is>
      </c>
      <c r="C23" s="11" t="inlineStr">
        <is>
          <t>6-Oct-2026</t>
        </is>
      </c>
      <c r="D23" s="4" t="inlineStr">
        <is>
          <t>Senior Software Engineer</t>
        </is>
      </c>
      <c r="E23" s="12" t="inlineStr">
        <is>
          <t>Dhachanamoorthy N</t>
        </is>
      </c>
      <c r="F23" s="13" t="inlineStr">
        <is>
          <t>7639619985</t>
        </is>
      </c>
      <c r="G23" s="14" t="inlineStr">
        <is>
          <t>dhachanamoorthy3@gmail.com</t>
        </is>
      </c>
      <c r="H23" s="4" t="inlineStr">
        <is>
          <t>Zoho Corporation</t>
        </is>
      </c>
      <c r="I23" s="11" t="inlineStr">
        <is>
          <t>5 Years</t>
        </is>
      </c>
      <c r="J23" s="4" t="inlineStr">
        <is>
          <t>Java 5 Years | React/TypeScript 5 Years | Node js 4 Years | Kafka | WebSockets | AWS</t>
        </is>
      </c>
      <c r="K23" s="4" t="inlineStr">
        <is>
          <t>Not stated</t>
        </is>
      </c>
      <c r="L23" s="14" t="inlineStr">
        <is>
          <t>Coimbatore</t>
        </is>
      </c>
      <c r="M23" s="4" t="inlineStr">
        <is>
          <t>Not captured</t>
        </is>
      </c>
      <c r="N23" s="28" t="inlineStr">
        <is>
          <t>Not captured</t>
        </is>
      </c>
      <c r="O23" s="28" t="inlineStr">
        <is>
          <t>Not captured</t>
        </is>
      </c>
      <c r="P23" s="26" t="inlineStr">
        <is>
          <t>Not captured</t>
        </is>
      </c>
      <c r="Q23" s="16" t="inlineStr"/>
      <c r="R23" s="17" t="inlineStr"/>
      <c r="S23" s="18" t="inlineStr"/>
      <c r="T23" s="11" t="inlineStr">
        <is>
          <t>Not captured</t>
        </is>
      </c>
      <c r="U23" s="19" t="inlineStr">
        <is>
          <t>Medium</t>
        </is>
      </c>
      <c r="V23" s="11" t="n">
        <v>2</v>
      </c>
      <c r="W23" s="20" t="n"/>
      <c r="X23" s="21" t="inlineStr">
        <is>
          <t>Yes</t>
        </is>
      </c>
      <c r="Y23" s="20" t="n"/>
      <c r="Z23" s="22" t="n"/>
      <c r="AA23" s="20" t="n"/>
      <c r="AB23" s="20" t="n"/>
      <c r="AC23" s="22" t="n"/>
      <c r="AD23" s="20" t="n"/>
      <c r="AE23" s="20" t="n"/>
      <c r="AF23" s="22" t="n"/>
      <c r="AG23" s="20" t="n"/>
      <c r="AH23" s="20" t="n"/>
      <c r="AI23" s="22" t="n"/>
      <c r="AJ23" s="20" t="n"/>
      <c r="AK23" s="20" t="n"/>
      <c r="AL23" s="23" t="n"/>
      <c r="AM23" s="20" t="n"/>
      <c r="AN23" s="20" t="n"/>
      <c r="AO23" s="24" t="n"/>
      <c r="AP23" s="22" t="n"/>
      <c r="AQ23" s="20" t="n"/>
    </row>
    <row r="24" ht="30" customHeight="1">
      <c r="A24" s="11" t="n">
        <v>22</v>
      </c>
      <c r="B24" s="4" t="inlineStr">
        <is>
          <t>Direct</t>
        </is>
      </c>
      <c r="C24" s="11" t="inlineStr">
        <is>
          <t>6-Oct-2026</t>
        </is>
      </c>
      <c r="D24" s="4" t="inlineStr">
        <is>
          <t>Technology Lead</t>
        </is>
      </c>
      <c r="E24" s="12" t="inlineStr">
        <is>
          <t>Krishnan K</t>
        </is>
      </c>
      <c r="F24" s="13" t="inlineStr">
        <is>
          <t>9843279454</t>
        </is>
      </c>
      <c r="G24" s="14" t="inlineStr">
        <is>
          <t>krishnan12koo@gmail.com</t>
        </is>
      </c>
      <c r="H24" s="4" t="inlineStr">
        <is>
          <t>Wipro Technologies</t>
        </is>
      </c>
      <c r="I24" s="11" t="inlineStr">
        <is>
          <t>12 Years</t>
        </is>
      </c>
      <c r="J24" s="4" t="inlineStr">
        <is>
          <t>Java 12 Years | Spring Boot | Microservices | Kafka | Docker/K8s | GCP/AWS | Lead 4 Years</t>
        </is>
      </c>
      <c r="K24" s="4" t="inlineStr">
        <is>
          <t>Madurai</t>
        </is>
      </c>
      <c r="L24" s="14" t="inlineStr">
        <is>
          <t>Coimbatore</t>
        </is>
      </c>
      <c r="M24" s="4" t="inlineStr">
        <is>
          <t>Not captured</t>
        </is>
      </c>
      <c r="N24" s="28" t="inlineStr">
        <is>
          <t>Not captured</t>
        </is>
      </c>
      <c r="O24" s="28" t="inlineStr">
        <is>
          <t>Not captured</t>
        </is>
      </c>
      <c r="P24" s="26" t="inlineStr">
        <is>
          <t>Not captured</t>
        </is>
      </c>
      <c r="Q24" s="16" t="inlineStr"/>
      <c r="R24" s="17" t="inlineStr"/>
      <c r="S24" s="18" t="inlineStr"/>
      <c r="T24" s="11" t="inlineStr">
        <is>
          <t>Not captured</t>
        </is>
      </c>
      <c r="U24" s="19" t="inlineStr">
        <is>
          <t>Medium</t>
        </is>
      </c>
      <c r="V24" s="11" t="n">
        <v>3</v>
      </c>
      <c r="W24" s="20" t="n"/>
      <c r="X24" s="21" t="inlineStr">
        <is>
          <t>Yes</t>
        </is>
      </c>
      <c r="Y24" s="20" t="n"/>
      <c r="Z24" s="22" t="n"/>
      <c r="AA24" s="20" t="n"/>
      <c r="AB24" s="20" t="n"/>
      <c r="AC24" s="22" t="n"/>
      <c r="AD24" s="20" t="n"/>
      <c r="AE24" s="20" t="n"/>
      <c r="AF24" s="22" t="n"/>
      <c r="AG24" s="20" t="n"/>
      <c r="AH24" s="20" t="n"/>
      <c r="AI24" s="22" t="n"/>
      <c r="AJ24" s="20" t="n"/>
      <c r="AK24" s="20" t="n"/>
      <c r="AL24" s="23" t="n"/>
      <c r="AM24" s="20" t="n"/>
      <c r="AN24" s="20" t="n"/>
      <c r="AO24" s="24" t="n"/>
      <c r="AP24" s="22" t="n"/>
      <c r="AQ24" s="20" t="n"/>
    </row>
  </sheetData>
  <autoFilter ref="A2:AQ24"/>
  <mergeCells count="3">
    <mergeCell ref="A1:P1"/>
    <mergeCell ref="Q1:V1"/>
    <mergeCell ref="W1:AQ1"/>
  </mergeCells>
  <dataValidations count="4">
    <dataValidation sqref="Y3:Y24" showDropDown="0" showInputMessage="0" showErrorMessage="0" allowBlank="1" type="list">
      <formula1>"Shortlisted,On Hold,Rejected"</formula1>
    </dataValidation>
    <dataValidation sqref="AB3:AB24 AE3:AE24 AH3:AH24 AK3:AK24" showDropDown="0" showInputMessage="0" showErrorMessage="0" allowBlank="1" type="list">
      <formula1>"Scheduled,Selected,Rejected,On Hold,No Show,Rescheduled"</formula1>
    </dataValidation>
    <dataValidation sqref="AM3:AM24" showDropDown="0" showInputMessage="0" showErrorMessage="0" allowBlank="1" type="list">
      <formula1>"In Process,Selected,Rejected,On Hold,Offer Declined,Joined,Dropped Out"</formula1>
    </dataValidation>
    <dataValidation sqref="X3:X24 AN3:AN24"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2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17" customWidth="1" min="3" max="3"/>
    <col width="28" customWidth="1" min="4" max="4"/>
    <col width="40" customWidth="1" min="5" max="5"/>
    <col width="40" customWidth="1" min="6" max="6"/>
    <col width="78" customWidth="1" min="7" max="7"/>
    <col width="12" customWidth="1" min="8" max="8"/>
  </cols>
  <sheetData>
    <row r="1" ht="24" customHeight="1">
      <c r="A1" s="1" t="inlineStr">
        <is>
          <t>Resume validation - all 22 candidates</t>
        </is>
      </c>
    </row>
    <row r="2">
      <c r="A2" s="2" t="inlineStr">
        <is>
          <t>Every candidate has a CV on file. The verdict compares what the resume says against the row as submitted; SL 18-22 arrived as resumes only, so there was no row to compare.</t>
        </is>
      </c>
    </row>
    <row r="4" ht="30" customHeight="1">
      <c r="A4" s="9" t="inlineStr">
        <is>
          <t>SL. No</t>
        </is>
      </c>
      <c r="B4" s="9" t="inlineStr">
        <is>
          <t>Candidate</t>
        </is>
      </c>
      <c r="C4" s="9" t="inlineStr">
        <is>
          <t>Source</t>
        </is>
      </c>
      <c r="D4" s="9" t="inlineStr">
        <is>
          <t>Resume file</t>
        </is>
      </c>
      <c r="E4" s="9" t="inlineStr">
        <is>
          <t>Headline on the CV</t>
        </is>
      </c>
      <c r="F4" s="9" t="inlineStr">
        <is>
          <t>Verdict</t>
        </is>
      </c>
      <c r="G4" s="9" t="inlineStr">
        <is>
          <t>Assessment</t>
        </is>
      </c>
      <c r="H4" s="9" t="inlineStr">
        <is>
          <t>Highest flag</t>
        </is>
      </c>
    </row>
    <row r="5" ht="104" customHeight="1">
      <c r="A5" s="11" t="n">
        <v>1</v>
      </c>
      <c r="B5" s="12" t="inlineStr">
        <is>
          <t>Jeganagan Murugesan</t>
        </is>
      </c>
      <c r="C5" s="4" t="inlineStr">
        <is>
          <t>IKrux Engineering</t>
        </is>
      </c>
      <c r="D5" s="4" t="inlineStr">
        <is>
          <t>Jeganagan_Murugesan.docx</t>
        </is>
      </c>
      <c r="E5" s="4" t="inlineStr">
        <is>
          <t>.NET Full Stack Architect</t>
        </is>
      </c>
      <c r="F5" s="29" t="inlineStr">
        <is>
          <t>Deeper than recorded, with a gap to explain</t>
        </is>
      </c>
      <c r="G5" s="4" t="inlineStr">
        <is>
          <t>L&amp;T Infotech appears under its post-merger name LTIMindtree, and the .Net depth is real — .NET 8 Azure Functions, Service Bus, Cosmos DB. Two things: his CV lists employment from Jul 2007, about 18 years of history, yet states 14+ years, and the difference is an unexplained gap between Cognizant (to Oct 2013) and TCS (from Dec 2014). His AI entry rests on ‘Claude prompt Eng’ in a skills list, against the 2 years recorded.</t>
        </is>
      </c>
      <c r="H5" s="19" t="inlineStr">
        <is>
          <t>Medium</t>
        </is>
      </c>
    </row>
    <row r="6" ht="104" customHeight="1">
      <c r="A6" s="11" t="n">
        <v>2</v>
      </c>
      <c r="B6" s="12" t="inlineStr">
        <is>
          <t>Dayakar G</t>
        </is>
      </c>
      <c r="C6" s="4" t="inlineStr">
        <is>
          <t>IKrux Engineering</t>
        </is>
      </c>
      <c r="D6" s="4" t="inlineStr">
        <is>
          <t>Dayakar_G.pdf</t>
        </is>
      </c>
      <c r="E6" s="4" t="inlineStr">
        <is>
          <t>Full-Stack Developer | Application Architect | Azure Cloud Solutions</t>
        </is>
      </c>
      <c r="F6" s="30" t="inlineStr">
        <is>
          <t>Matches the submission</t>
        </is>
      </c>
      <c r="G6" s="4" t="inlineStr">
        <is>
          <t>Experience, employer, location and the .Net / React / Azure / AI split all line up with his CV. Two things to probe: 10.7 of the 15 years were at Pricol as an Application Engineer rather than services or product delivery, and his CV shows IBM as current with no notice stated while the row records an LWD of 4 Sep 2026.</t>
        </is>
      </c>
      <c r="H6" s="19" t="inlineStr">
        <is>
          <t>Medium</t>
        </is>
      </c>
    </row>
    <row r="7" ht="104" customHeight="1">
      <c r="A7" s="11" t="n">
        <v>3</v>
      </c>
      <c r="B7" s="12" t="inlineStr">
        <is>
          <t>Amre Binnaz. M</t>
        </is>
      </c>
      <c r="C7" s="4" t="inlineStr">
        <is>
          <t>IKrux Engineering</t>
        </is>
      </c>
      <c r="D7" s="4" t="inlineStr">
        <is>
          <t>Amre_Binnaz_M.pdf</t>
        </is>
      </c>
      <c r="E7" s="4" t="inlineStr">
        <is>
          <t>Technical Lead | Full Stack Developer | AI Assisted Developer</t>
        </is>
      </c>
      <c r="F7" s="29" t="inlineStr">
        <is>
          <t>Matches, with gaps to close</t>
        </is>
      </c>
      <c r="G7" s="4" t="inlineStr">
        <is>
          <t>Experience, employer, location and the Aug 2026 exit all agree. Roughly Jun–Oct 2020 is unaccounted for between LAKEBA and his return to OMS, the CV carries no education section, and his AI exposure is AI-assisted coding with Claude and ChatGPT rather than AI engineering.</t>
        </is>
      </c>
      <c r="H7" s="19" t="inlineStr">
        <is>
          <t>Medium</t>
        </is>
      </c>
    </row>
    <row r="8" ht="104" customHeight="1">
      <c r="A8" s="11" t="n">
        <v>4</v>
      </c>
      <c r="B8" s="12" t="inlineStr">
        <is>
          <t>Adarsh Swaminathan</t>
        </is>
      </c>
      <c r="C8" s="4" t="inlineStr">
        <is>
          <t>IKrux Engineering</t>
        </is>
      </c>
      <c r="D8" s="4" t="inlineStr">
        <is>
          <t>Adarsh_Swaminathan.pdf</t>
        </is>
      </c>
      <c r="E8" s="4" t="inlineStr">
        <is>
          <t>Professional Services Delivery Engineer II</t>
        </is>
      </c>
      <c r="F8" s="29" t="inlineStr">
        <is>
          <t>Mostly matches; the .Net span is overstated</t>
        </is>
      </c>
      <c r="G8" s="4" t="inlineStr">
        <is>
          <t>Rackspace, Angular, Azure and AWS all agree, and he holds an AWS Developer Associate certification. But his CV states 9.5 years against the 10.3 recorded, and the row credits 10.3 years of .Net when his first Infosys projects — Customer Account Opening and Multi-Channel Printing for NatWest — were Java, Struts and Spring Boot. .NET is nearer 7 to 8 years.</t>
        </is>
      </c>
      <c r="H8" s="19" t="inlineStr">
        <is>
          <t>Medium</t>
        </is>
      </c>
    </row>
    <row r="9" ht="104" customHeight="1">
      <c r="A9" s="11" t="n">
        <v>5</v>
      </c>
      <c r="B9" s="12" t="inlineStr">
        <is>
          <t>Sivakumar Varatharaj</t>
        </is>
      </c>
      <c r="C9" s="4" t="inlineStr">
        <is>
          <t>IKrux Engineering</t>
        </is>
      </c>
      <c r="D9" s="4" t="inlineStr">
        <is>
          <t>Sivakumar_Varatharaj.pdf</t>
        </is>
      </c>
      <c r="E9" s="4" t="inlineStr">
        <is>
          <t>Senior Technical Lead | .NET Full Stack Developer</t>
        </is>
      </c>
      <c r="F9" s="29" t="inlineStr">
        <is>
          <t>Matches well, but he is visa-mobile</t>
        </is>
      </c>
      <c r="G9" s="4" t="inlineStr">
        <is>
          <t>Fourteen years from Sep 2012, HCLTech, and the .Net / Angular / React / Azure split all agree, and he adds Python, FastAPI and Azure OpenAI work the row does not record. The flag is his own closing line: ‘Open to international opportunities (H1B Visa Holder)’ — worth weighing against a Coimbatore posting and a 36 L expectation.</t>
        </is>
      </c>
      <c r="H9" s="19" t="inlineStr">
        <is>
          <t>Medium</t>
        </is>
      </c>
    </row>
    <row r="10" ht="104" customHeight="1">
      <c r="A10" s="11" t="n">
        <v>6</v>
      </c>
      <c r="B10" s="12" t="inlineStr">
        <is>
          <t>Sathya K S</t>
        </is>
      </c>
      <c r="C10" s="4" t="inlineStr">
        <is>
          <t>IKrux Engineering</t>
        </is>
      </c>
      <c r="D10" s="4" t="inlineStr">
        <is>
          <t>Sathya_K_S.pdf</t>
        </is>
      </c>
      <c r="E10" s="4" t="inlineStr">
        <is>
          <t>Technical Lead | Healthcare IT</t>
        </is>
      </c>
      <c r="F10" s="29" t="inlineStr">
        <is>
          <t>Twelve years, but four of them were teaching</t>
        </is>
      </c>
      <c r="G10" s="4" t="inlineStr">
        <is>
          <t>His industry software experience starts Nov 2018 at cSoft — about 8 years, which is exactly what the Java, React and AWS 8-year entries reflect. The remaining 4+ years were as an Assistant Professor of Computer Science at Nandha Engineering College (Aug 2014 – Nov 2018). His AI credentials are stronger than the 1 year recorded. His CV gives his location only as Tamil Nadu, and his employer as Bengaluru (remote).</t>
        </is>
      </c>
      <c r="H10" s="19" t="inlineStr">
        <is>
          <t>Medium</t>
        </is>
      </c>
    </row>
    <row r="11" ht="104" customHeight="1">
      <c r="A11" s="11" t="n">
        <v>7</v>
      </c>
      <c r="B11" s="12" t="inlineStr">
        <is>
          <t>Navin Kumar</t>
        </is>
      </c>
      <c r="C11" s="4" t="inlineStr">
        <is>
          <t>IKrux Engineering</t>
        </is>
      </c>
      <c r="D11" s="4" t="inlineStr">
        <is>
          <t>Navin_Kumar.pdf</t>
        </is>
      </c>
      <c r="E11" s="4" t="inlineStr">
        <is>
          <t>Senior Full Stack Engineer | React, Next.js &amp; .NET Specialist | AI-Augmented Software Development</t>
        </is>
      </c>
      <c r="F11" s="31" t="inlineStr">
        <is>
          <t>The .Net figure does not hold up</t>
        </is>
      </c>
      <c r="G11" s="4" t="inlineStr">
        <is>
          <t>React at 8 years is well supported and the front-end depth is genuine. But the row credits 6 years of .Net, and his CV shows C# only at Lycatech (2017–2020) and again on the current Nagarro project from Jul 2025 — the four years between are React, Node and Next.js. .NET is nearer 3 to 4 years. His address reads Tamil Nadu 638701, which is Erode, not Coimbatore, and the Nagarro role is remote.</t>
        </is>
      </c>
      <c r="H11" s="19" t="inlineStr">
        <is>
          <t>Medium</t>
        </is>
      </c>
    </row>
    <row r="12" ht="104" customHeight="1">
      <c r="A12" s="11" t="n">
        <v>8</v>
      </c>
      <c r="B12" s="12" t="inlineStr">
        <is>
          <t>Boopathi Molakgounder</t>
        </is>
      </c>
      <c r="C12" s="4" t="inlineStr">
        <is>
          <t>IKrux Engineering</t>
        </is>
      </c>
      <c r="D12" s="4" t="inlineStr">
        <is>
          <t>BOOPATHI_MOLAKGOUNDER.docx</t>
        </is>
      </c>
      <c r="E12" s="4" t="inlineStr">
        <is>
          <t>Technical Lead | Senior Software Engineer — .NET | .NET Core | Azure | Angular | Microservices | SQL | KQL</t>
        </is>
      </c>
      <c r="F12" s="29" t="inlineStr">
        <is>
          <t>Skills match, location does not</t>
        </is>
      </c>
      <c r="G12" s="4" t="inlineStr">
        <is>
          <t>The 13.5 years, Capgemini, .Net, Angular 8–15 and Azure all agree. The row records Erode but his CV header says Bangalore. His Capgemini tenure ended Jun 2026, so he has been out around three months — confirm status and the reason for the break.</t>
        </is>
      </c>
      <c r="H12" s="27" t="inlineStr">
        <is>
          <t>High</t>
        </is>
      </c>
    </row>
    <row r="13" ht="104" customHeight="1">
      <c r="A13" s="11" t="n">
        <v>9</v>
      </c>
      <c r="B13" s="12" t="inlineStr">
        <is>
          <t>Ravikumar Gopal</t>
        </is>
      </c>
      <c r="C13" s="4" t="inlineStr">
        <is>
          <t>IKrux Engineering</t>
        </is>
      </c>
      <c r="D13" s="4" t="inlineStr">
        <is>
          <t>Ravikumar_Gopal.pdf</t>
        </is>
      </c>
      <c r="E13" s="4" t="inlineStr">
        <is>
          <t>Lead Engineer | GenAI Engineer | AI Architect | Full-Stack Architect</t>
        </is>
      </c>
      <c r="F13" s="29" t="inlineStr">
        <is>
          <t>Strong AI profile; the Java span is overstated</t>
        </is>
      </c>
      <c r="G13" s="4" t="inlineStr">
        <is>
          <t>Bosch, Angular and the lead experience all agree, and his GenAI work — AccentBridge, LangChain, LangGraph, Whisper, LoRA, Ollama, plus an AI hackathon win — is a real asset the row does not record at all. But Java and Spring Boot start at Datamatics in Jun 2018, about 8 years, not 10: Nov 2016 to May 2018 at MAK Controls was Android and IoT work. His CV says 9+ years against the 10.3 recorded.</t>
        </is>
      </c>
      <c r="H13" s="19" t="inlineStr">
        <is>
          <t>Medium</t>
        </is>
      </c>
    </row>
    <row r="14" ht="104" customHeight="1">
      <c r="A14" s="11" t="n">
        <v>10</v>
      </c>
      <c r="B14" s="12" t="inlineStr">
        <is>
          <t>Vaisakh P</t>
        </is>
      </c>
      <c r="C14" s="4" t="inlineStr">
        <is>
          <t>IKrux Engineering</t>
        </is>
      </c>
      <c r="D14" s="4" t="inlineStr">
        <is>
          <t>Vaisakh_P.pdf</t>
        </is>
      </c>
      <c r="E14" s="4" t="inlineStr">
        <is>
          <t>Lead Software Engineer</t>
        </is>
      </c>
      <c r="F14" s="31" t="inlineStr">
        <is>
          <t>He is in Kerala, not Coimbatore</t>
        </is>
      </c>
      <c r="G14" s="4" t="inlineStr">
        <is>
          <t>His CV header reads Thiruvananthapuram — the row says Coimbatore, and that is a relocation across states, not a commute. Java, Spring Boot, microservices and GCP are all well evidenced. Two recorded figures are thin: Angular at 4 years appears once on a personal side project, and Lead at 6 years against a Lead Software Engineer title held only since Aug 2022. Two employment gaps sit in his history.</t>
        </is>
      </c>
      <c r="H14" s="27" t="inlineStr">
        <is>
          <t>High</t>
        </is>
      </c>
    </row>
    <row r="15" ht="104" customHeight="1">
      <c r="A15" s="11" t="n">
        <v>11</v>
      </c>
      <c r="B15" s="12" t="inlineStr">
        <is>
          <t>Sandhosh Kumar</t>
        </is>
      </c>
      <c r="C15" s="4" t="inlineStr">
        <is>
          <t>IKrux Engineering</t>
        </is>
      </c>
      <c r="D15" s="4" t="inlineStr">
        <is>
          <t>Sandhosh_Kumar.docx</t>
        </is>
      </c>
      <c r="E15" s="4" t="inlineStr">
        <is>
          <t>Python, React Full Stack | AI Agents &amp; RAG | Cloud-Native Solutions</t>
        </is>
      </c>
      <c r="F15" s="29" t="inlineStr">
        <is>
          <t>Lead time and tenure both need probing</t>
        </is>
      </c>
      <c r="G15" s="4" t="inlineStr">
        <is>
          <t>The Python, React, RAG and LangGraph depth is real and current. But Lead at 5 years does not hold: he has been Tech Lead at Wipro since Apr 2024, about 2.4 years, with Senior Software Engineer and Senior PHP Developer titles before that. He has had four employers between Apr 2021 and Apr 2024, one of them a six-month stint, with gaps before Wipro and before Equator. His earlier career was PHP and LAMP, which the row does not mention.</t>
        </is>
      </c>
      <c r="H15" s="19" t="inlineStr">
        <is>
          <t>Medium</t>
        </is>
      </c>
    </row>
    <row r="16" ht="104" customHeight="1">
      <c r="A16" s="11" t="n">
        <v>12</v>
      </c>
      <c r="B16" s="12" t="inlineStr">
        <is>
          <t>Karthy</t>
        </is>
      </c>
      <c r="C16" s="4" t="inlineStr">
        <is>
          <t>IKrux Engineering</t>
        </is>
      </c>
      <c r="D16" s="4" t="inlineStr">
        <is>
          <t>Karthy.pdf</t>
        </is>
      </c>
      <c r="E16" s="4" t="inlineStr">
        <is>
          <t>Technical Lead | Hands-on Lead Engineer | Full-Stack Engineering</t>
        </is>
      </c>
      <c r="F16" s="31" t="inlineStr">
        <is>
          <t>Material mismatch — confirm before a .Net panel</t>
        </is>
      </c>
      <c r="G16" s="4" t="inlineStr">
        <is>
          <t>The row credits 9 years of .Net. His CV contains no .NET or C# at all: the backend is Node.js and Express with PHP and Laravel, and the cloud is AWS, not Azure. React at 7 years and Lead at 5+ are both supported. He reads as a Node and React technical lead.</t>
        </is>
      </c>
      <c r="H16" s="27" t="inlineStr">
        <is>
          <t>High</t>
        </is>
      </c>
    </row>
    <row r="17" ht="104" customHeight="1">
      <c r="A17" s="11" t="n">
        <v>13</v>
      </c>
      <c r="B17" s="12" t="inlineStr">
        <is>
          <t>Adhithyan C</t>
        </is>
      </c>
      <c r="C17" s="4" t="inlineStr">
        <is>
          <t>IKrux Engineering</t>
        </is>
      </c>
      <c r="D17" s="4" t="inlineStr">
        <is>
          <t>Adhithyan_Cheralathan.pdf</t>
        </is>
      </c>
      <c r="E17" s="4" t="inlineStr">
        <is>
          <t>Production Support Engineer | Unix/Linux &amp; SQL Production Support | ITIL | Java Application Support</t>
        </is>
      </c>
      <c r="F17" s="31" t="inlineStr">
        <is>
          <t>Production support, not development</t>
        </is>
      </c>
      <c r="G17" s="4" t="inlineStr">
        <is>
          <t>His CV is explicit: Production Support Engineer, L2 application support for MidFirst Bank’s core banking platform — Unix, SQL/PL-SQL, ITIL incident and change management, Autosys batch monitoring, Splunk and Dynatrace. The Java and Spring Boot exposure is support-side, not build-side. Against a Senior Software Engineer opening this is a fit question, not a detail.</t>
        </is>
      </c>
      <c r="H17" s="11" t="inlineStr">
        <is>
          <t>None</t>
        </is>
      </c>
    </row>
    <row r="18" ht="104" customHeight="1">
      <c r="A18" s="11" t="n">
        <v>14</v>
      </c>
      <c r="B18" s="12" t="inlineStr">
        <is>
          <t>Manoj</t>
        </is>
      </c>
      <c r="C18" s="4" t="inlineStr">
        <is>
          <t>IKrux Engineering</t>
        </is>
      </c>
      <c r="D18" s="4" t="inlineStr">
        <is>
          <t>Manoj.docx</t>
        </is>
      </c>
      <c r="E18" s="4" t="inlineStr">
        <is>
          <t>Application Support Engineer — immediate joiner</t>
        </is>
      </c>
      <c r="F18" s="31" t="inlineStr">
        <is>
          <t>Application support, and he says so himself</t>
        </is>
      </c>
      <c r="G18" s="4" t="inlineStr">
        <is>
          <t>His CV opens ‘Application Support Engineer with 5.1 years’ and his skills line reads ‘Core Java basics, stack trace debugging’. The work is L1/L2 production support for Evercore and Liberty Mutual — Oracle SQL, Autosys, ServiceNow, Splunk, ITIL. He is marked an immediate joiner, which fits the elapsed LWD, but this is not a developer profile.</t>
        </is>
      </c>
      <c r="H18" s="27" t="inlineStr">
        <is>
          <t>High</t>
        </is>
      </c>
    </row>
    <row r="19" ht="104" customHeight="1">
      <c r="A19" s="11" t="n">
        <v>15</v>
      </c>
      <c r="B19" s="12" t="inlineStr">
        <is>
          <t>Sankar Ponnusamy</t>
        </is>
      </c>
      <c r="C19" s="4" t="inlineStr">
        <is>
          <t>IKrux Engineering</t>
        </is>
      </c>
      <c r="D19" s="4" t="inlineStr">
        <is>
          <t>Sankar_Ponnusamy.pdf</t>
        </is>
      </c>
      <c r="E19" s="4" t="inlineStr">
        <is>
          <t>Java Application / Production Support | Payment Systems | BFSI Domain</t>
        </is>
      </c>
      <c r="F19" s="31" t="inlineStr">
        <is>
          <t>Numbers match, role fit does not</t>
        </is>
      </c>
      <c r="G19" s="4" t="inlineStr">
        <is>
          <t>The 11.2 / 6.3 year split, TCS and the 14 Aug 2026 exit all agree. But the profile is Java application and production support for BFSI payments — Spring Boot, REST API and AWS appear only under ‘Technical Exposure’. The row says Erode; his CV says Bangalore.</t>
        </is>
      </c>
      <c r="H19" s="27" t="inlineStr">
        <is>
          <t>High</t>
        </is>
      </c>
    </row>
    <row r="20" ht="104" customHeight="1">
      <c r="A20" s="11" t="n">
        <v>16</v>
      </c>
      <c r="B20" s="12" t="inlineStr">
        <is>
          <t>Shanmuga raja</t>
        </is>
      </c>
      <c r="C20" s="4" t="inlineStr">
        <is>
          <t>IKrux Engineering</t>
        </is>
      </c>
      <c r="D20" s="4" t="inlineStr">
        <is>
          <t>Shanmugaraja.pdf</t>
        </is>
      </c>
      <c r="E20" s="4" t="inlineStr">
        <is>
          <t>Production Support Engineer (L1 &amp; L2) | Unix | SQL | ITIL | Java Application Support — banking, retail, automotive</t>
        </is>
      </c>
      <c r="F20" s="31" t="inlineStr">
        <is>
          <t>Production support, and a templated CV</t>
        </is>
      </c>
      <c r="G20" s="4" t="inlineStr">
        <is>
          <t>L1 &amp; L2 production support across banking, retail and automotive — Unix, SQL, ITIL, Autosys, Splunk, Dynatrace. Genuine breadth and two awards, but again support rather than development. Separately: he and Adhithyan C (SL 13) share an employer and a near-identical CV structure — same Ops Console maker-checker language, same Detect-Decide-Switch-Verify-Recover wording, same skills taxonomy — differing mainly in the client. Verify the two independently.</t>
        </is>
      </c>
      <c r="H20" s="27" t="inlineStr">
        <is>
          <t>High</t>
        </is>
      </c>
    </row>
    <row r="21" ht="104" customHeight="1">
      <c r="A21" s="11" t="n">
        <v>17</v>
      </c>
      <c r="B21" s="12" t="inlineStr">
        <is>
          <t>Srinidhi Ravi</t>
        </is>
      </c>
      <c r="C21" s="4" t="inlineStr">
        <is>
          <t>IKrux Engineering</t>
        </is>
      </c>
      <c r="D21" s="4" t="inlineStr">
        <is>
          <t>Srinidhi_Ravi.pdf</t>
        </is>
      </c>
      <c r="E21" s="4" t="inlineStr">
        <is>
          <t>Senior Software Engineer</t>
        </is>
      </c>
      <c r="F21" s="29" t="inlineStr">
        <is>
          <t>Half developer, half support, and a thin stack</t>
        </is>
      </c>
      <c r="G21" s="4" t="inlineStr">
        <is>
          <t>Five years at LTIMindtree on the Citi BFS-AML project, split between Java development and L3 production support with Actimize, ActOne and AIS. His entire tech skills list is Java 8, Unix shell, SQL, HTML/CSS, Actimize and AIS — no framework, no cloud, no modern front end. Against an 18 L expectation for a Senior Software Engineer, probe what he has actually built.</t>
        </is>
      </c>
      <c r="H21" s="19" t="inlineStr">
        <is>
          <t>Medium</t>
        </is>
      </c>
    </row>
    <row r="22" ht="104" customHeight="1">
      <c r="A22" s="11" t="n">
        <v>18</v>
      </c>
      <c r="B22" s="12" t="inlineStr">
        <is>
          <t>Prince Kumar P</t>
        </is>
      </c>
      <c r="C22" s="4" t="inlineStr">
        <is>
          <t>Direct</t>
        </is>
      </c>
      <c r="D22" s="4" t="inlineStr">
        <is>
          <t>Prince_Kumar_P.docx</t>
        </is>
      </c>
      <c r="E22" s="4" t="inlineStr">
        <is>
          <t>Senior Lead Software Engineer | Full Stack &amp; Cloud</t>
        </is>
      </c>
      <c r="F22" s="29" t="inlineStr">
        <is>
          <t>Strong breadth, but the Java depth is thinner than the title suggests</t>
        </is>
      </c>
      <c r="G22" s="4" t="inlineStr">
        <is>
          <t>Sixteen years and a genuine lead record at Virtusa on British Telecom work — microservices, Kafka, Docker and Kubernetes, AWS, and real observability with Prometheus, Grafana and Loki. The caveat is his own: the CV puts Java at about 5 years against Node at 7 and Angular at 9, so for a Java lead role the hands-on Java is shallower than 16 years implies. One date inconsistency: the Discern project runs Jan 2016 to Dec 2020 while he lists Treselle ending Jan 2020 and Virtusa starting the same month.</t>
        </is>
      </c>
      <c r="H22" s="19" t="inlineStr">
        <is>
          <t>Medium</t>
        </is>
      </c>
    </row>
    <row r="23" ht="104" customHeight="1">
      <c r="A23" s="11" t="n">
        <v>19</v>
      </c>
      <c r="B23" s="12" t="inlineStr">
        <is>
          <t>Gangasri Paramasivam</t>
        </is>
      </c>
      <c r="C23" s="4" t="inlineStr">
        <is>
          <t>Direct</t>
        </is>
      </c>
      <c r="D23" s="4" t="inlineStr">
        <is>
          <t>Gangasri_Paramasivam.pdf</t>
        </is>
      </c>
      <c r="E23" s="4" t="inlineStr">
        <is>
          <t>Java Full Stack Development Lead</t>
        </is>
      </c>
      <c r="F23" s="30" t="inlineStr">
        <is>
          <t>Clean, consistent Java lead profile</t>
        </is>
      </c>
      <c r="G23" s="4" t="inlineStr">
        <is>
          <t>Eleven-plus years with no gaps, all of it Java and full stack, progressing from trainee to technical lead at Skava, Infosys and now Tech Mahindra. Current work leads a team on Telefonica Germany's ePOS system, and previously Intel's Architect GUI. Solid on Spring Boot, Apache Camel, Kafka, RabbitMQ, Redis, Docker and Kubernetes, with monolith-to-microservice migration and performance tuning both named as her own work. M.E. from PSG College of Technology, and workplace awards through Oct 2025.</t>
        </is>
      </c>
      <c r="H23" s="11" t="inlineStr">
        <is>
          <t>None</t>
        </is>
      </c>
    </row>
    <row r="24" ht="104" customHeight="1">
      <c r="A24" s="11" t="n">
        <v>20</v>
      </c>
      <c r="B24" s="12" t="inlineStr">
        <is>
          <t>Gunavadhi A S</t>
        </is>
      </c>
      <c r="C24" s="4" t="inlineStr">
        <is>
          <t>Direct</t>
        </is>
      </c>
      <c r="D24" s="4" t="inlineStr">
        <is>
          <t>Gunavadhi_AS.docx</t>
        </is>
      </c>
      <c r="E24" s="4" t="inlineStr">
        <is>
          <t>Full Stack Java Developer | React.js | Tech Lead</t>
        </is>
      </c>
      <c r="F24" s="29" t="inlineStr">
        <is>
          <t>Solid Java lead, already out of her last role</t>
        </is>
      </c>
      <c r="G24" s="4" t="inlineStr">
        <is>
          <t>Eleven years of Java and Spring Boot microservices with React and Angular, most recently leading offshore delivery for Cisco at Tech Mahindra — monolith-to-microservices, Berkeley DB to PostgreSQL, Docker, Kubernetes, Jenkins, and Scrum Master duties. Two things to note: the Tech Mahindra engagement is listed as ending August 2026, so she has been out roughly two months, and the MCA is recorded as coursework completed rather than awarded, with a B.Sc. as the completed degree.</t>
        </is>
      </c>
      <c r="H24" s="19" t="inlineStr">
        <is>
          <t>Medium</t>
        </is>
      </c>
    </row>
    <row r="25" ht="104" customHeight="1">
      <c r="A25" s="11" t="n">
        <v>21</v>
      </c>
      <c r="B25" s="12" t="inlineStr">
        <is>
          <t>Dhachanamoorthy N</t>
        </is>
      </c>
      <c r="C25" s="4" t="inlineStr">
        <is>
          <t>Direct</t>
        </is>
      </c>
      <c r="D25" s="4" t="inlineStr">
        <is>
          <t>Dhachanamoorthy_N.pdf</t>
        </is>
      </c>
      <c r="E25" s="4" t="inlineStr">
        <is>
          <t>Software Engineer | Java · React · TypeScript · Node.js · Distributed Systems</t>
        </is>
      </c>
      <c r="F25" s="30" t="inlineStr">
        <is>
          <t>Unusually strong for five years — but it is five years</t>
        </is>
      </c>
      <c r="G25" s="4" t="inlineStr">
        <is>
          <t>Real distributed-systems substance at Zoho: a browser-to-device P2P file transfer platform at 1M+ users with 95% peer completion, WebSocket infrastructure, a JSON to Protocol Buffers migration, a Kafka event pipeline, and ownership of a 30,000-line React/TypeScript migration on a product serving 10M+ monthly actives. Also build-pipeline work across a 70-engineer organisation. The honest caveat is tenure: five years total, so architecture and multi-tenancy theory will be thinner than the engineering. No location anywhere on the CV.</t>
        </is>
      </c>
      <c r="H25" s="19" t="inlineStr">
        <is>
          <t>Medium</t>
        </is>
      </c>
    </row>
    <row r="26" ht="104" customHeight="1">
      <c r="A26" s="11" t="n">
        <v>22</v>
      </c>
      <c r="B26" s="12" t="inlineStr">
        <is>
          <t>Krishnan K</t>
        </is>
      </c>
      <c r="C26" s="4" t="inlineStr">
        <is>
          <t>Direct</t>
        </is>
      </c>
      <c r="D26" s="4" t="inlineStr">
        <is>
          <t>Krishnan_K.docx</t>
        </is>
      </c>
      <c r="E26" s="4" t="inlineStr">
        <is>
          <t>Java / J2EE Full Stack Developer and Team Lead</t>
        </is>
      </c>
      <c r="F26" s="29" t="inlineStr">
        <is>
          <t>Broad Java delivery record, several things to confirm</t>
        </is>
      </c>
      <c r="G26" s="4" t="inlineStr">
        <is>
          <t>Twelve years of Java and J2EE across Wipro, HCL and smaller firms, with named enterprise clients — United HealthCare, MasterCard — on Spring Boot microservices, Kafka, Kubernetes, Docker, GCP and AWS. Three things to check: the Wipro engagement ended 25 June 2026 so he has been out around three months; his address is Madurai while the Wipro posting was Coimbatore, so his base needs confirming; and the degree is a BE in Electrical and Electronics rather than computer science. The CV is also list-heavy — long technology inventories with thin description of what he personally built.</t>
        </is>
      </c>
      <c r="H26" s="19" t="inlineStr">
        <is>
          <t>Medium</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
  <sheetViews>
    <sheetView showGridLines="0" workbookViewId="0">
      <pane ySplit="4" topLeftCell="A5" activePane="bottomLeft" state="frozen"/>
      <selection pane="bottomLeft" activeCell="A1" sqref="A1"/>
    </sheetView>
  </sheetViews>
  <sheetFormatPr baseColWidth="8" defaultRowHeight="15"/>
  <cols>
    <col width="6" customWidth="1" min="1" max="1"/>
    <col width="8" customWidth="1" min="2" max="2"/>
    <col width="24" customWidth="1" min="3" max="3"/>
    <col width="11" customWidth="1" min="4" max="4"/>
    <col width="62" customWidth="1" min="5" max="5"/>
    <col width="62" customWidth="1" min="6" max="6"/>
    <col width="20" customWidth="1" min="7" max="7"/>
  </cols>
  <sheetData>
    <row r="1" ht="24" customHeight="1">
      <c r="A1" s="1" t="inlineStr">
        <is>
          <t>Open actions before scheduling interviews</t>
        </is>
      </c>
    </row>
    <row r="2">
      <c r="A2" s="2" t="inlineStr">
        <is>
          <t>Raised from reading all 22 resumes against their submitted rows, plus arithmetic checks. Owner and status are yours to fill in.</t>
        </is>
      </c>
    </row>
    <row r="4" ht="30" customHeight="1">
      <c r="A4" s="9" t="inlineStr">
        <is>
          <t>Item</t>
        </is>
      </c>
      <c r="B4" s="9" t="inlineStr">
        <is>
          <t>SL. No</t>
        </is>
      </c>
      <c r="C4" s="9" t="inlineStr">
        <is>
          <t>Candidate</t>
        </is>
      </c>
      <c r="D4" s="9" t="inlineStr">
        <is>
          <t>Severity</t>
        </is>
      </c>
      <c r="E4" s="9" t="inlineStr">
        <is>
          <t>Issue</t>
        </is>
      </c>
      <c r="F4" s="9" t="inlineStr">
        <is>
          <t>Action required</t>
        </is>
      </c>
      <c r="G4" s="9" t="inlineStr">
        <is>
          <t>Owner / status</t>
        </is>
      </c>
    </row>
    <row r="5" ht="44" customHeight="1">
      <c r="A5" s="11" t="n">
        <v>1</v>
      </c>
      <c r="B5" s="11" t="inlineStr">
        <is>
          <t>-</t>
        </is>
      </c>
      <c r="C5" s="12" t="inlineStr">
        <is>
          <t>Pipeline-wide</t>
        </is>
      </c>
      <c r="D5" s="32" t="inlineStr">
        <is>
          <t>High</t>
        </is>
      </c>
      <c r="E5" s="4" t="inlineStr">
        <is>
          <t>All five Senior Software Engineer candidates (SL 13, 14, 15, 16, 17) are production-support or support-weighted profiles. None is a mainstream application developer.</t>
        </is>
      </c>
      <c r="F5" s="4" t="inlineStr">
        <is>
          <t>Re-brief IKrux on the Senior Software Engineer requirement before scheduling — the whole slate for that role looks mis-targeted.</t>
        </is>
      </c>
      <c r="G5" s="20" t="n"/>
    </row>
    <row r="6" ht="44" customHeight="1">
      <c r="A6" s="11" t="n">
        <v>2</v>
      </c>
      <c r="B6" s="11" t="inlineStr">
        <is>
          <t>-</t>
        </is>
      </c>
      <c r="C6" s="12" t="inlineStr">
        <is>
          <t>Pipeline-wide</t>
        </is>
      </c>
      <c r="D6" s="32" t="inlineStr">
        <is>
          <t>High</t>
        </is>
      </c>
      <c r="E6" s="4" t="inlineStr">
        <is>
          <t>The five candidates added on 6 Oct 2026 came as resumes only — no notice period, CTC, expected CTC or competing offers were supplied.</t>
        </is>
      </c>
      <c r="F6" s="4" t="inlineStr">
        <is>
          <t>Collect the commercials and availability for SL 18–22 before any of them reaches a panel.</t>
        </is>
      </c>
      <c r="G6" s="20" t="n"/>
    </row>
    <row r="7" ht="44" customHeight="1">
      <c r="A7" s="11" t="n">
        <v>3</v>
      </c>
      <c r="B7" s="11" t="inlineStr">
        <is>
          <t>-</t>
        </is>
      </c>
      <c r="C7" s="12" t="inlineStr">
        <is>
          <t>Pipeline-wide</t>
        </is>
      </c>
      <c r="D7" s="32" t="inlineStr">
        <is>
          <t>High</t>
        </is>
      </c>
      <c r="E7" s="4" t="inlineStr">
        <is>
          <t>Most of the recorded last working days have now passed — the Availability column recalculates daily, so that count keeps growing.</t>
        </is>
      </c>
      <c r="F7" s="4" t="inlineStr">
        <is>
          <t>Re-verify employment status for every candidate the list marks available now before approaching them.</t>
        </is>
      </c>
      <c r="G7" s="20" t="n"/>
    </row>
    <row r="8" ht="44" customHeight="1">
      <c r="A8" s="11" t="n">
        <v>4</v>
      </c>
      <c r="B8" s="11" t="n">
        <v>8</v>
      </c>
      <c r="C8" s="12" t="inlineStr">
        <is>
          <t>Boopathi Molakgounder</t>
        </is>
      </c>
      <c r="D8" s="32" t="inlineStr">
        <is>
          <t>High</t>
        </is>
      </c>
      <c r="E8" s="4" t="inlineStr">
        <is>
          <t>Last working day of 11 Jun 2026 has already passed.</t>
        </is>
      </c>
      <c r="F8" s="4" t="inlineStr">
        <is>
          <t>Confirm employment status, the reason for the break, and whether 30 L still holds.</t>
        </is>
      </c>
      <c r="G8" s="20" t="n"/>
    </row>
    <row r="9" ht="44" customHeight="1">
      <c r="A9" s="11" t="n">
        <v>5</v>
      </c>
      <c r="B9" s="11" t="n">
        <v>10</v>
      </c>
      <c r="C9" s="12" t="inlineStr">
        <is>
          <t>Vaisakh P</t>
        </is>
      </c>
      <c r="D9" s="32" t="inlineStr">
        <is>
          <t>High</t>
        </is>
      </c>
      <c r="E9" s="4" t="inlineStr">
        <is>
          <t>CV header says Thiruvananthapuram; the row records Coimbatore. That is an interstate relocation, not a commute.</t>
        </is>
      </c>
      <c r="F9" s="4" t="inlineStr">
        <is>
          <t>Confirm his relocation intent and family situation before progressing.</t>
        </is>
      </c>
      <c r="G9" s="20" t="n"/>
    </row>
    <row r="10" ht="44" customHeight="1">
      <c r="A10" s="11" t="n">
        <v>6</v>
      </c>
      <c r="B10" s="11" t="n">
        <v>12</v>
      </c>
      <c r="C10" s="12" t="inlineStr">
        <is>
          <t>Karthy</t>
        </is>
      </c>
      <c r="D10" s="32" t="inlineStr">
        <is>
          <t>High</t>
        </is>
      </c>
      <c r="E10" s="4" t="inlineStr">
        <is>
          <t>Credited with 9 years of .Net; the CV shows none — Node.js, Express, React, PHP/Laravel.</t>
        </is>
      </c>
      <c r="F10" s="4" t="inlineStr">
        <is>
          <t>Reconfirm the skill mapping with IKrux before allocating a panel.</t>
        </is>
      </c>
      <c r="G10" s="20" t="n"/>
    </row>
    <row r="11" ht="44" customHeight="1">
      <c r="A11" s="11" t="n">
        <v>7</v>
      </c>
      <c r="B11" s="11" t="n">
        <v>14</v>
      </c>
      <c r="C11" s="12" t="inlineStr">
        <is>
          <t>Manoj</t>
        </is>
      </c>
      <c r="D11" s="32" t="inlineStr">
        <is>
          <t>High</t>
        </is>
      </c>
      <c r="E11" s="4" t="inlineStr">
        <is>
          <t>CV opens ‘Application Support Engineer’; skills list reads ‘Core Java basics, stack trace debugging’.</t>
        </is>
      </c>
      <c r="F11" s="4" t="inlineStr">
        <is>
          <t>Confirm the opening is a build role before scheduling a development panel.</t>
        </is>
      </c>
      <c r="G11" s="20" t="n"/>
    </row>
    <row r="12" ht="44" customHeight="1">
      <c r="A12" s="11" t="n">
        <v>8</v>
      </c>
      <c r="B12" s="11" t="n">
        <v>15</v>
      </c>
      <c r="C12" s="12" t="inlineStr">
        <is>
          <t>Sankar Ponnusamy</t>
        </is>
      </c>
      <c r="D12" s="32" t="inlineStr">
        <is>
          <t>High</t>
        </is>
      </c>
      <c r="E12" s="4" t="inlineStr">
        <is>
          <t>Profile is Java application and production support, not development.</t>
        </is>
      </c>
      <c r="F12" s="4" t="inlineStr">
        <is>
          <t>Confirm whether the opening is a build or a support role before scheduling.</t>
        </is>
      </c>
      <c r="G12" s="20" t="n"/>
    </row>
    <row r="13" ht="44" customHeight="1">
      <c r="A13" s="11" t="n">
        <v>9</v>
      </c>
      <c r="B13" s="11" t="n">
        <v>16</v>
      </c>
      <c r="C13" s="12" t="inlineStr">
        <is>
          <t>Shanmuga raja</t>
        </is>
      </c>
      <c r="D13" s="32" t="inlineStr">
        <is>
          <t>High</t>
        </is>
      </c>
      <c r="E13" s="4" t="inlineStr">
        <is>
          <t>L1 &amp; L2 production support profile across banking, retail and automotive — not development.</t>
        </is>
      </c>
      <c r="F13" s="4" t="inlineStr">
        <is>
          <t>Confirm the opening is a build role before scheduling a development panel.</t>
        </is>
      </c>
      <c r="G13" s="20" t="n"/>
    </row>
    <row r="14" ht="44" customHeight="1">
      <c r="A14" s="11" t="n">
        <v>10</v>
      </c>
      <c r="B14" s="11" t="inlineStr">
        <is>
          <t>-</t>
        </is>
      </c>
      <c r="C14" s="12" t="inlineStr">
        <is>
          <t>Pipeline-wide</t>
        </is>
      </c>
      <c r="D14" s="33" t="inlineStr">
        <is>
          <t>Medium</t>
        </is>
      </c>
      <c r="E14" s="4" t="inlineStr">
        <is>
          <t>Offers field blank for SL 8, 10, 13, 14 and 15.</t>
        </is>
      </c>
      <c r="F14" s="4" t="inlineStr">
        <is>
          <t>Collect a yes-with-value or a no before any offer discussion.</t>
        </is>
      </c>
      <c r="G14" s="20" t="n"/>
    </row>
    <row r="15" ht="44" customHeight="1">
      <c r="A15" s="11" t="n">
        <v>11</v>
      </c>
      <c r="B15" s="11" t="inlineStr">
        <is>
          <t>-</t>
        </is>
      </c>
      <c r="C15" s="12" t="inlineStr">
        <is>
          <t>Pipeline-wide</t>
        </is>
      </c>
      <c r="D15" s="33" t="inlineStr">
        <is>
          <t>Medium</t>
        </is>
      </c>
      <c r="E15" s="4" t="inlineStr">
        <is>
          <t>Hikes of 100%, 97%, 65% and 64% at Senior Software Engineer level.</t>
        </is>
      </c>
      <c r="F15" s="4" t="inlineStr">
        <is>
          <t>Check each against the approved band before the profiles reach a panel.</t>
        </is>
      </c>
      <c r="G15" s="20" t="n"/>
    </row>
    <row r="16" ht="44" customHeight="1">
      <c r="A16" s="11" t="n">
        <v>12</v>
      </c>
      <c r="B16" s="11" t="n">
        <v>1</v>
      </c>
      <c r="C16" s="12" t="inlineStr">
        <is>
          <t>Jeganagan Murugesan</t>
        </is>
      </c>
      <c r="D16" s="33" t="inlineStr">
        <is>
          <t>Medium</t>
        </is>
      </c>
      <c r="E16" s="4" t="inlineStr">
        <is>
          <t>CV lists employment from Jul 2007 (about 18 years of history) but states 14+ years; a gap sits between Cognizant (to Oct 2013) and TCS (from Dec 2014).</t>
        </is>
      </c>
      <c r="F16" s="4" t="inlineStr">
        <is>
          <t>Ask him to account for the gap and confirm the true total.</t>
        </is>
      </c>
      <c r="G16" s="20" t="n"/>
    </row>
    <row r="17" ht="44" customHeight="1">
      <c r="A17" s="11" t="n">
        <v>13</v>
      </c>
      <c r="B17" s="11" t="n">
        <v>2</v>
      </c>
      <c r="C17" s="12" t="inlineStr">
        <is>
          <t>Dayakar G</t>
        </is>
      </c>
      <c r="D17" s="33" t="inlineStr">
        <is>
          <t>Medium</t>
        </is>
      </c>
      <c r="E17" s="4" t="inlineStr">
        <is>
          <t>CV shows IBM as current with no notice; the row records LWD 4 Sep 2026.</t>
        </is>
      </c>
      <c r="F17" s="4" t="inlineStr">
        <is>
          <t>Establish which is current and record the real notice position.</t>
        </is>
      </c>
      <c r="G17" s="20" t="n"/>
    </row>
    <row r="18" ht="44" customHeight="1">
      <c r="A18" s="11" t="n">
        <v>14</v>
      </c>
      <c r="B18" s="11" t="n">
        <v>2</v>
      </c>
      <c r="C18" s="12" t="inlineStr">
        <is>
          <t>Dayakar G</t>
        </is>
      </c>
      <c r="D18" s="33" t="inlineStr">
        <is>
          <t>Medium</t>
        </is>
      </c>
      <c r="E18" s="4" t="inlineStr">
        <is>
          <t>10.7 of 15 years were in-house manufacturing IT at Pricol.</t>
        </is>
      </c>
      <c r="F18" s="4" t="inlineStr">
        <is>
          <t>Probe depth of enterprise .NET delivery in the technical round.</t>
        </is>
      </c>
      <c r="G18" s="20" t="n"/>
    </row>
    <row r="19" ht="44" customHeight="1">
      <c r="A19" s="11" t="n">
        <v>15</v>
      </c>
      <c r="B19" s="11" t="n">
        <v>3</v>
      </c>
      <c r="C19" s="12" t="inlineStr">
        <is>
          <t>Amre Binnaz. M</t>
        </is>
      </c>
      <c r="D19" s="33" t="inlineStr">
        <is>
          <t>Medium</t>
        </is>
      </c>
      <c r="E19" s="4" t="inlineStr">
        <is>
          <t>Employment gap of roughly Jun–Oct 2020 between LAKEBA and OMS.</t>
        </is>
      </c>
      <c r="F19" s="4" t="inlineStr">
        <is>
          <t>Ask the candidate to account for the gap.</t>
        </is>
      </c>
      <c r="G19" s="20" t="n"/>
    </row>
    <row r="20" ht="44" customHeight="1">
      <c r="A20" s="11" t="n">
        <v>16</v>
      </c>
      <c r="B20" s="11" t="n">
        <v>4</v>
      </c>
      <c r="C20" s="12" t="inlineStr">
        <is>
          <t>Adarsh Swaminathan</t>
        </is>
      </c>
      <c r="D20" s="33" t="inlineStr">
        <is>
          <t>Medium</t>
        </is>
      </c>
      <c r="E20" s="4" t="inlineStr">
        <is>
          <t>Credited with 10.3 years of .Net, but his first Infosys projects (CAO, MCP for NatWest) were Java and Struts. CV states 9.5 years total against 10.3 recorded.</t>
        </is>
      </c>
      <c r="F20" s="4" t="inlineStr">
        <is>
          <t>Restate .Net at roughly 7 to 8 years and correct the total.</t>
        </is>
      </c>
      <c r="G20" s="20" t="n"/>
    </row>
    <row r="21" ht="44" customHeight="1">
      <c r="A21" s="11" t="n">
        <v>17</v>
      </c>
      <c r="B21" s="11" t="n">
        <v>4</v>
      </c>
      <c r="C21" s="12" t="inlineStr">
        <is>
          <t>Adarsh Swaminathan</t>
        </is>
      </c>
      <c r="D21" s="33" t="inlineStr">
        <is>
          <t>Medium</t>
        </is>
      </c>
      <c r="E21" s="4" t="inlineStr">
        <is>
          <t>Based in Chamrajnagar, and already holds a 28 L offer against a 30 L expectation.</t>
        </is>
      </c>
      <c r="F21" s="4" t="inlineStr">
        <is>
          <t>Confirm relocation and the closing timeline against the competing offer.</t>
        </is>
      </c>
      <c r="G21" s="20" t="n"/>
    </row>
    <row r="22" ht="44" customHeight="1">
      <c r="A22" s="11" t="n">
        <v>18</v>
      </c>
      <c r="B22" s="11" t="n">
        <v>5</v>
      </c>
      <c r="C22" s="12" t="inlineStr">
        <is>
          <t>Sivakumar Varatharaj</t>
        </is>
      </c>
      <c r="D22" s="33" t="inlineStr">
        <is>
          <t>Medium</t>
        </is>
      </c>
      <c r="E22" s="4" t="inlineStr">
        <is>
          <t>CV states ‘Open to international opportunities (H1B Visa Holder)’ — a flight risk against a Coimbatore posting at 36 L.</t>
        </is>
      </c>
      <c r="F22" s="4" t="inlineStr">
        <is>
          <t>Ask directly about his US plans before an offer is built.</t>
        </is>
      </c>
      <c r="G22" s="20" t="n"/>
    </row>
    <row r="23" ht="44" customHeight="1">
      <c r="A23" s="11" t="n">
        <v>19</v>
      </c>
      <c r="B23" s="11" t="n">
        <v>6</v>
      </c>
      <c r="C23" s="12" t="inlineStr">
        <is>
          <t>Sathya K S</t>
        </is>
      </c>
      <c r="D23" s="33" t="inlineStr">
        <is>
          <t>Medium</t>
        </is>
      </c>
      <c r="E23" s="4" t="inlineStr">
        <is>
          <t>Of the 12 years recorded, 4+ were as an Assistant Professor of Computer Science, not industry software engineering.</t>
        </is>
      </c>
      <c r="F23" s="4" t="inlineStr">
        <is>
          <t>Record industry experience as roughly 8 years and confirm the panel is comfortable with the academic period.</t>
        </is>
      </c>
      <c r="G23" s="20" t="n"/>
    </row>
    <row r="24" ht="44" customHeight="1">
      <c r="A24" s="11" t="n">
        <v>20</v>
      </c>
      <c r="B24" s="11" t="n">
        <v>7</v>
      </c>
      <c r="C24" s="12" t="inlineStr">
        <is>
          <t>Navin Kumar</t>
        </is>
      </c>
      <c r="D24" s="33" t="inlineStr">
        <is>
          <t>Medium</t>
        </is>
      </c>
      <c r="E24" s="4" t="inlineStr">
        <is>
          <t>Credited with 6 years of .Net; the CV shows C# only 2017–2020 and again from Jul 2025 — roughly 3 to 4 years.</t>
        </is>
      </c>
      <c r="F24" s="4" t="inlineStr">
        <is>
          <t>Restate the .Net span and decide whether a React/Node lead fits the role.</t>
        </is>
      </c>
      <c r="G24" s="20" t="n"/>
    </row>
    <row r="25" ht="44" customHeight="1">
      <c r="A25" s="11" t="n">
        <v>21</v>
      </c>
      <c r="B25" s="11" t="n">
        <v>7</v>
      </c>
      <c r="C25" s="12" t="inlineStr">
        <is>
          <t>Navin Kumar</t>
        </is>
      </c>
      <c r="D25" s="33" t="inlineStr">
        <is>
          <t>Medium</t>
        </is>
      </c>
      <c r="E25" s="4" t="inlineStr">
        <is>
          <t>33 L expected against 32.8 L current — a 0.6% hike, out of line with the rest.</t>
        </is>
      </c>
      <c r="F25" s="4" t="inlineStr">
        <is>
          <t>Verify both figures; one is likely mis-keyed.</t>
        </is>
      </c>
      <c r="G25" s="20" t="n"/>
    </row>
    <row r="26" ht="44" customHeight="1">
      <c r="A26" s="11" t="n">
        <v>22</v>
      </c>
      <c r="B26" s="11" t="n">
        <v>8</v>
      </c>
      <c r="C26" s="12" t="inlineStr">
        <is>
          <t>Boopathi Molakgounder</t>
        </is>
      </c>
      <c r="D26" s="33" t="inlineStr">
        <is>
          <t>Medium</t>
        </is>
      </c>
      <c r="E26" s="4" t="inlineStr">
        <is>
          <t>Location recorded as Erode; the CV says Bangalore.</t>
        </is>
      </c>
      <c r="F26" s="4" t="inlineStr">
        <is>
          <t>Confirm with the candidate.</t>
        </is>
      </c>
      <c r="G26" s="20" t="n"/>
    </row>
    <row r="27" ht="44" customHeight="1">
      <c r="A27" s="11" t="n">
        <v>23</v>
      </c>
      <c r="B27" s="11" t="n">
        <v>9</v>
      </c>
      <c r="C27" s="12" t="inlineStr">
        <is>
          <t>Ravikumar Gopal</t>
        </is>
      </c>
      <c r="D27" s="33" t="inlineStr">
        <is>
          <t>Medium</t>
        </is>
      </c>
      <c r="E27" s="4" t="inlineStr">
        <is>
          <t>Credited with 10 years of Java; Java and Spring Boot start Jun 2018 — about 8 years. The 2016–2018 role was Android and IoT.</t>
        </is>
      </c>
      <c r="F27" s="4" t="inlineStr">
        <is>
          <t>Restate the Java span, and record the GenAI depth the row currently omits.</t>
        </is>
      </c>
      <c r="G27" s="20" t="n"/>
    </row>
    <row r="28" ht="44" customHeight="1">
      <c r="A28" s="11" t="n">
        <v>24</v>
      </c>
      <c r="B28" s="11" t="n">
        <v>10</v>
      </c>
      <c r="C28" s="12" t="inlineStr">
        <is>
          <t>Vaisakh P</t>
        </is>
      </c>
      <c r="D28" s="33" t="inlineStr">
        <is>
          <t>Medium</t>
        </is>
      </c>
      <c r="E28" s="4" t="inlineStr">
        <is>
          <t>Angular at 4 years appears only on a personal side project, and Lead at 6 years against a title held since Aug 2022.</t>
        </is>
      </c>
      <c r="F28" s="4" t="inlineStr">
        <is>
          <t>Verify both figures with the candidate.</t>
        </is>
      </c>
      <c r="G28" s="20" t="n"/>
    </row>
    <row r="29" ht="44" customHeight="1">
      <c r="A29" s="11" t="n">
        <v>25</v>
      </c>
      <c r="B29" s="11" t="n">
        <v>11</v>
      </c>
      <c r="C29" s="12" t="inlineStr">
        <is>
          <t>Sandhosh Kumar</t>
        </is>
      </c>
      <c r="D29" s="33" t="inlineStr">
        <is>
          <t>Medium</t>
        </is>
      </c>
      <c r="E29" s="4" t="inlineStr">
        <is>
          <t>Credited with 5 years as Lead; Tech Lead title held only since Apr 2024, about 2.4 years. Four employers between Apr 2021 and Apr 2024, one a six-month stint.</t>
        </is>
      </c>
      <c r="F29" s="4" t="inlineStr">
        <is>
          <t>Restate the lead span and probe the tenure pattern for retention risk.</t>
        </is>
      </c>
      <c r="G29" s="20" t="n"/>
    </row>
    <row r="30" ht="44" customHeight="1">
      <c r="A30" s="11" t="n">
        <v>26</v>
      </c>
      <c r="B30" s="11" t="n">
        <v>12</v>
      </c>
      <c r="C30" s="12" t="inlineStr">
        <is>
          <t>Karthy</t>
        </is>
      </c>
      <c r="D30" s="33" t="inlineStr">
        <is>
          <t>Medium</t>
        </is>
      </c>
      <c r="E30" s="4" t="inlineStr">
        <is>
          <t>Cloud recorded generically at 4 years; the CV shows AWS, not Azure.</t>
        </is>
      </c>
      <c r="F30" s="4" t="inlineStr">
        <is>
          <t>Restate as AWS and confirm whether the role needs Azure.</t>
        </is>
      </c>
      <c r="G30" s="20" t="n"/>
    </row>
    <row r="31" ht="44" customHeight="1">
      <c r="A31" s="11" t="n">
        <v>27</v>
      </c>
      <c r="B31" s="11" t="n">
        <v>15</v>
      </c>
      <c r="C31" s="12" t="inlineStr">
        <is>
          <t>Sankar Ponnusamy</t>
        </is>
      </c>
      <c r="D31" s="33" t="inlineStr">
        <is>
          <t>Medium</t>
        </is>
      </c>
      <c r="E31" s="4" t="inlineStr">
        <is>
          <t>Location recorded as Erode; the CV says Bangalore.</t>
        </is>
      </c>
      <c r="F31" s="4" t="inlineStr">
        <is>
          <t>Confirm with the candidate.</t>
        </is>
      </c>
      <c r="G31" s="20" t="n"/>
    </row>
    <row r="32" ht="44" customHeight="1">
      <c r="A32" s="11" t="n">
        <v>28</v>
      </c>
      <c r="B32" s="11" t="n">
        <v>16</v>
      </c>
      <c r="C32" s="12" t="inlineStr">
        <is>
          <t>Shanmuga raja</t>
        </is>
      </c>
      <c r="D32" s="33" t="inlineStr">
        <is>
          <t>Medium</t>
        </is>
      </c>
      <c r="E32" s="4" t="inlineStr">
        <is>
          <t>His CV and Adhithyan C’s (SL 13) share an employer and a near-identical structure, wording and skills taxonomy, differing mainly in the client name.</t>
        </is>
      </c>
      <c r="F32" s="4" t="inlineStr">
        <is>
          <t>Assess the two independently; do not let one interview colour the other.</t>
        </is>
      </c>
      <c r="G32" s="20" t="n"/>
    </row>
    <row r="33" ht="44" customHeight="1">
      <c r="A33" s="11" t="n">
        <v>29</v>
      </c>
      <c r="B33" s="11" t="n">
        <v>17</v>
      </c>
      <c r="C33" s="12" t="inlineStr">
        <is>
          <t>Srinidhi Ravi</t>
        </is>
      </c>
      <c r="D33" s="33" t="inlineStr">
        <is>
          <t>Medium</t>
        </is>
      </c>
      <c r="E33" s="4" t="inlineStr">
        <is>
          <t>Entire tech skills list is Java 8, Unix shell, SQL, HTML/CSS, Actimize and AIS — no framework, no cloud, no modern front end, against an 18 L expectation.</t>
        </is>
      </c>
      <c r="F33" s="4" t="inlineStr">
        <is>
          <t>Probe what he has actually built, as distinct from supported.</t>
        </is>
      </c>
      <c r="G33" s="20" t="n"/>
    </row>
    <row r="34" ht="44" customHeight="1">
      <c r="A34" s="11" t="n">
        <v>30</v>
      </c>
      <c r="B34" s="11" t="n">
        <v>18</v>
      </c>
      <c r="C34" s="12" t="inlineStr">
        <is>
          <t>Prince Kumar P</t>
        </is>
      </c>
      <c r="D34" s="33" t="inlineStr">
        <is>
          <t>Medium</t>
        </is>
      </c>
      <c r="E34" s="4" t="inlineStr">
        <is>
          <t>Sixteen years total, but his own CV puts Java at about 5 years against Node at 7 and Angular at 9.</t>
        </is>
      </c>
      <c r="F34" s="4" t="inlineStr">
        <is>
          <t>Decide whether the opening needs Java depth or accepts a polyglot lead, and brief the panel accordingly.</t>
        </is>
      </c>
      <c r="G34" s="20" t="n"/>
    </row>
    <row r="35" ht="44" customHeight="1">
      <c r="A35" s="11" t="n">
        <v>31</v>
      </c>
      <c r="B35" s="11" t="n">
        <v>20</v>
      </c>
      <c r="C35" s="12" t="inlineStr">
        <is>
          <t>Gunavadhi A S</t>
        </is>
      </c>
      <c r="D35" s="33" t="inlineStr">
        <is>
          <t>Medium</t>
        </is>
      </c>
      <c r="E35" s="4" t="inlineStr">
        <is>
          <t>Tech Mahindra engagement is listed as ending August 2026, so she has been out around two months.</t>
        </is>
      </c>
      <c r="F35" s="4" t="inlineStr">
        <is>
          <t>Confirm current status and availability.</t>
        </is>
      </c>
      <c r="G35" s="20" t="n"/>
    </row>
    <row r="36" ht="44" customHeight="1">
      <c r="A36" s="11" t="n">
        <v>32</v>
      </c>
      <c r="B36" s="11" t="n">
        <v>21</v>
      </c>
      <c r="C36" s="12" t="inlineStr">
        <is>
          <t>Dhachanamoorthy N</t>
        </is>
      </c>
      <c r="D36" s="33" t="inlineStr">
        <is>
          <t>Medium</t>
        </is>
      </c>
      <c r="E36" s="4" t="inlineStr">
        <is>
          <t>Five years total experience against an architecture-heavy Round 1 — a strong engineer, but the theory set will stretch him.</t>
        </is>
      </c>
      <c r="F36" s="4" t="inlineStr">
        <is>
          <t>Decide whether to score him against the mid-level bar or treat the gaps as expected.</t>
        </is>
      </c>
      <c r="G36" s="20" t="n"/>
    </row>
    <row r="37" ht="44" customHeight="1">
      <c r="A37" s="11" t="n">
        <v>33</v>
      </c>
      <c r="B37" s="11" t="n">
        <v>22</v>
      </c>
      <c r="C37" s="12" t="inlineStr">
        <is>
          <t>Krishnan K</t>
        </is>
      </c>
      <c r="D37" s="33" t="inlineStr">
        <is>
          <t>Medium</t>
        </is>
      </c>
      <c r="E37" s="4" t="inlineStr">
        <is>
          <t>Wipro engagement ended 25 June 2026, so he has been out of employment around three months.</t>
        </is>
      </c>
      <c r="F37" s="4" t="inlineStr">
        <is>
          <t>Confirm current status and the reason for the break.</t>
        </is>
      </c>
      <c r="G37" s="20" t="n"/>
    </row>
    <row r="38" ht="44" customHeight="1">
      <c r="A38" s="11" t="n">
        <v>34</v>
      </c>
      <c r="B38" s="11" t="n">
        <v>22</v>
      </c>
      <c r="C38" s="12" t="inlineStr">
        <is>
          <t>Krishnan K</t>
        </is>
      </c>
      <c r="D38" s="33" t="inlineStr">
        <is>
          <t>Medium</t>
        </is>
      </c>
      <c r="E38" s="4" t="inlineStr">
        <is>
          <t>Address is Madurai while the Wipro posting was Coimbatore; his current base is unclear.</t>
        </is>
      </c>
      <c r="F38" s="4" t="inlineStr">
        <is>
          <t>Confirm location and willingness to be in Coimbatore.</t>
        </is>
      </c>
      <c r="G38" s="20" t="n"/>
    </row>
    <row r="39" ht="44" customHeight="1">
      <c r="A39" s="11" t="n">
        <v>35</v>
      </c>
      <c r="B39" s="11" t="inlineStr">
        <is>
          <t>-</t>
        </is>
      </c>
      <c r="C39" s="12" t="inlineStr">
        <is>
          <t>Pipeline-wide</t>
        </is>
      </c>
      <c r="D39" s="34" t="inlineStr">
        <is>
          <t>Low</t>
        </is>
      </c>
      <c r="E39" s="4" t="inlineStr">
        <is>
          <t>All 22 resumes are on file and checked — 17 against their submitted row, and 5 that arrived as resumes only.</t>
        </is>
      </c>
      <c r="F39" s="4" t="inlineStr">
        <is>
          <t>Closed. Seventeen of the 22 carry a correction or an open question — see the items below.</t>
        </is>
      </c>
      <c r="G39" s="20" t="n"/>
    </row>
    <row r="40" ht="44" customHeight="1">
      <c r="A40" s="11" t="n">
        <v>36</v>
      </c>
      <c r="B40" s="11" t="n">
        <v>3</v>
      </c>
      <c r="C40" s="12" t="inlineStr">
        <is>
          <t>Amre Binnaz. M</t>
        </is>
      </c>
      <c r="D40" s="34" t="inlineStr">
        <is>
          <t>Low</t>
        </is>
      </c>
      <c r="E40" s="4" t="inlineStr">
        <is>
          <t>‘AI : 0.6 Months’ is ambiguous and describes AI-assisted coding, not AI engineering.</t>
        </is>
      </c>
      <c r="F40" s="4" t="inlineStr">
        <is>
          <t>Restate the AI entry in the units the rest of the sheet uses.</t>
        </is>
      </c>
      <c r="G40" s="20" t="n"/>
    </row>
    <row r="41" ht="44" customHeight="1">
      <c r="A41" s="11" t="n">
        <v>37</v>
      </c>
      <c r="B41" s="11" t="n">
        <v>3</v>
      </c>
      <c r="C41" s="12" t="inlineStr">
        <is>
          <t>Amre Binnaz. M</t>
        </is>
      </c>
      <c r="D41" s="34" t="inlineStr">
        <is>
          <t>Low</t>
        </is>
      </c>
      <c r="E41" s="4" t="inlineStr">
        <is>
          <t>The CV carries no education section.</t>
        </is>
      </c>
      <c r="F41" s="4" t="inlineStr">
        <is>
          <t>Collect the qualification.</t>
        </is>
      </c>
      <c r="G41" s="20" t="n"/>
    </row>
    <row r="42" ht="44" customHeight="1">
      <c r="A42" s="11" t="n">
        <v>38</v>
      </c>
      <c r="B42" s="11" t="n">
        <v>7</v>
      </c>
      <c r="C42" s="12" t="inlineStr">
        <is>
          <t>Navin Kumar</t>
        </is>
      </c>
      <c r="D42" s="34" t="inlineStr">
        <is>
          <t>Low</t>
        </is>
      </c>
      <c r="E42" s="4" t="inlineStr">
        <is>
          <t>Address reads Tamil Nadu 638701, which is Erode, not Coimbatore; the Nagarro role is remote.</t>
        </is>
      </c>
      <c r="F42" s="4" t="inlineStr">
        <is>
          <t>Confirm his base and his willingness to work onsite.</t>
        </is>
      </c>
      <c r="G42" s="20" t="n"/>
    </row>
    <row r="43" ht="44" customHeight="1">
      <c r="A43" s="11" t="n">
        <v>39</v>
      </c>
      <c r="B43" s="11" t="n">
        <v>10</v>
      </c>
      <c r="C43" s="12" t="inlineStr">
        <is>
          <t>Vaisakh P</t>
        </is>
      </c>
      <c r="D43" s="34" t="inlineStr">
        <is>
          <t>Low</t>
        </is>
      </c>
      <c r="E43" s="4" t="inlineStr">
        <is>
          <t>Two employment gaps: Mar to Aug 2017, and Dec 2019 to Jul 2020.</t>
        </is>
      </c>
      <c r="F43" s="4" t="inlineStr">
        <is>
          <t>Ask him to account for both.</t>
        </is>
      </c>
      <c r="G43" s="20" t="n"/>
    </row>
    <row r="44" ht="44" customHeight="1">
      <c r="A44" s="11" t="n">
        <v>40</v>
      </c>
      <c r="B44" s="11" t="n">
        <v>11</v>
      </c>
      <c r="C44" s="12" t="inlineStr">
        <is>
          <t>Sandhosh Kumar</t>
        </is>
      </c>
      <c r="D44" s="34" t="inlineStr">
        <is>
          <t>Low</t>
        </is>
      </c>
      <c r="E44" s="4" t="inlineStr">
        <is>
          <t>Early career was PHP and LAMP, which the recorded skill split does not mention.</t>
        </is>
      </c>
      <c r="F44" s="4" t="inlineStr">
        <is>
          <t>Add it for completeness.</t>
        </is>
      </c>
      <c r="G44" s="20" t="n"/>
    </row>
    <row r="45" ht="44" customHeight="1">
      <c r="A45" s="11" t="n">
        <v>41</v>
      </c>
      <c r="B45" s="11" t="n">
        <v>14</v>
      </c>
      <c r="C45" s="12" t="inlineStr">
        <is>
          <t>Manoj</t>
        </is>
      </c>
      <c r="D45" s="34" t="inlineStr">
        <is>
          <t>Low</t>
        </is>
      </c>
      <c r="E45" s="4" t="inlineStr">
        <is>
          <t>Location recorded as ‘Bangalore / Coimbatore’.</t>
        </is>
      </c>
      <c r="F45" s="4" t="inlineStr">
        <is>
          <t>Record a single current location.</t>
        </is>
      </c>
      <c r="G45" s="20" t="n"/>
    </row>
    <row r="46" ht="44" customHeight="1">
      <c r="A46" s="11" t="n">
        <v>42</v>
      </c>
      <c r="B46" s="11" t="n">
        <v>16</v>
      </c>
      <c r="C46" s="12" t="inlineStr">
        <is>
          <t>Shanmuga raja</t>
        </is>
      </c>
      <c r="D46" s="34" t="inlineStr">
        <is>
          <t>Low</t>
        </is>
      </c>
      <c r="E46" s="4" t="inlineStr">
        <is>
          <t>E-mail address was supplied with a leading space.</t>
        </is>
      </c>
      <c r="F46" s="4" t="inlineStr">
        <is>
          <t>Corrected here; fix at source so mail merges do not fail.</t>
        </is>
      </c>
      <c r="G46" s="20" t="n"/>
    </row>
    <row r="47" ht="44" customHeight="1">
      <c r="A47" s="11" t="n">
        <v>43</v>
      </c>
      <c r="B47" s="11" t="n">
        <v>18</v>
      </c>
      <c r="C47" s="12" t="inlineStr">
        <is>
          <t>Prince Kumar P</t>
        </is>
      </c>
      <c r="D47" s="34" t="inlineStr">
        <is>
          <t>Low</t>
        </is>
      </c>
      <c r="E47" s="4" t="inlineStr">
        <is>
          <t>Project dates overlap: Discern runs Jan 2016 to Dec 2020 while Treselle ends Jan 2020 and Virtusa starts the same month.</t>
        </is>
      </c>
      <c r="F47" s="4" t="inlineStr">
        <is>
          <t>Ask him to clarify the overlap.</t>
        </is>
      </c>
      <c r="G47" s="20" t="n"/>
    </row>
    <row r="48" ht="44" customHeight="1">
      <c r="A48" s="11" t="n">
        <v>44</v>
      </c>
      <c r="B48" s="11" t="n">
        <v>20</v>
      </c>
      <c r="C48" s="12" t="inlineStr">
        <is>
          <t>Gunavadhi A S</t>
        </is>
      </c>
      <c r="D48" s="34" t="inlineStr">
        <is>
          <t>Low</t>
        </is>
      </c>
      <c r="E48" s="4" t="inlineStr">
        <is>
          <t>MCA is recorded as coursework completed rather than awarded; the completed degree is a B.Sc.</t>
        </is>
      </c>
      <c r="F48" s="4" t="inlineStr">
        <is>
          <t>Confirm the highest qualification actually held.</t>
        </is>
      </c>
      <c r="G48" s="20" t="n"/>
    </row>
    <row r="49" ht="44" customHeight="1">
      <c r="A49" s="11" t="n">
        <v>45</v>
      </c>
      <c r="B49" s="11" t="n">
        <v>21</v>
      </c>
      <c r="C49" s="12" t="inlineStr">
        <is>
          <t>Dhachanamoorthy N</t>
        </is>
      </c>
      <c r="D49" s="34" t="inlineStr">
        <is>
          <t>Low</t>
        </is>
      </c>
      <c r="E49" s="4" t="inlineStr">
        <is>
          <t>No current location stated anywhere on the CV.</t>
        </is>
      </c>
      <c r="F49" s="4" t="inlineStr">
        <is>
          <t>Capture it.</t>
        </is>
      </c>
      <c r="G49" s="20" t="n"/>
    </row>
    <row r="50" ht="44" customHeight="1">
      <c r="A50" s="11" t="n">
        <v>46</v>
      </c>
      <c r="B50" s="11" t="n">
        <v>22</v>
      </c>
      <c r="C50" s="12" t="inlineStr">
        <is>
          <t>Krishnan K</t>
        </is>
      </c>
      <c r="D50" s="34" t="inlineStr">
        <is>
          <t>Low</t>
        </is>
      </c>
      <c r="E50" s="4" t="inlineStr">
        <is>
          <t>Degree is BE Electrical and Electronics rather than computer science, and the CV is list-heavy with thin description of personal contribution.</t>
        </is>
      </c>
      <c r="F50" s="4" t="inlineStr">
        <is>
          <t>Probe for what he personally designed and built in the technical round.</t>
        </is>
      </c>
      <c r="G50" s="20" t="n"/>
    </row>
  </sheetData>
  <mergeCells count="2">
    <mergeCell ref="A2:G2"/>
    <mergeCell ref="A1:G1"/>
  </mergeCells>
  <dataValidations count="1">
    <dataValidation sqref="G5:G50" showDropDown="0" showInputMessage="0" showErrorMessage="0" allowBlank="1" type="list">
      <formula1>"Open,In Progress,Closed,Not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4" customWidth="1" min="3" max="3"/>
    <col width="10" customWidth="1" min="4" max="4"/>
    <col width="56" customWidth="1" min="5" max="5"/>
    <col width="86" customWidth="1" min="6" max="6"/>
    <col width="62" customWidth="1" min="7" max="7"/>
  </cols>
  <sheetData>
    <row r="1" ht="24" customHeight="1">
      <c r="A1" s="1" t="inlineStr">
        <is>
          <t>Round 1 - theory question bank with expected answers</t>
        </is>
      </c>
    </row>
    <row r="2">
      <c r="A2" s="2" t="inlineStr">
        <is>
          <t>62 questions across the seven topics. Each candidate draws one per topic from the pool matching their competency stream and level; recycling moves to the next in that pool.</t>
        </is>
      </c>
    </row>
    <row r="4" ht="30" customHeight="1">
      <c r="A4" s="35" t="inlineStr">
        <is>
          <t>No.</t>
        </is>
      </c>
      <c r="B4" s="35" t="inlineStr">
        <is>
          <t>Topic</t>
        </is>
      </c>
      <c r="C4" s="35" t="inlineStr">
        <is>
          <t>Suits</t>
        </is>
      </c>
      <c r="D4" s="35" t="inlineStr">
        <is>
          <t>Level</t>
        </is>
      </c>
      <c r="E4" s="35" t="inlineStr">
        <is>
          <t>Question</t>
        </is>
      </c>
      <c r="F4" s="35" t="inlineStr">
        <is>
          <t>Expected answer</t>
        </is>
      </c>
      <c r="G4" s="35" t="inlineStr">
        <is>
          <t>Follow up / watch for</t>
        </is>
      </c>
    </row>
    <row r="5" ht="118" customHeight="1">
      <c r="A5" s="11" t="n">
        <v>1</v>
      </c>
      <c r="B5" s="12" t="inlineStr">
        <is>
          <t>System design patterns</t>
        </is>
      </c>
      <c r="C5" s="11" t="inlineStr">
        <is>
          <t>Any stream</t>
        </is>
      </c>
      <c r="D5" s="11" t="inlineStr">
        <is>
          <t>Any</t>
        </is>
      </c>
      <c r="E5" s="4" t="inlineStr">
        <is>
          <t>Explain CQRS. What problem does it solve, and what does it cost you?</t>
        </is>
      </c>
      <c r="F5"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G5" s="36" t="inlineStr">
        <is>
          <t>Weak answers describe it as ‘separate read and write methods’. Push on what happens immediately after a command when the read model has not caught up, and how they would rebuild a projection that has drifted.</t>
        </is>
      </c>
    </row>
    <row r="6" ht="118" customHeight="1">
      <c r="A6" s="11" t="n">
        <v>2</v>
      </c>
      <c r="B6" s="12" t="inlineStr">
        <is>
          <t>System design patterns</t>
        </is>
      </c>
      <c r="C6" s="11" t="inlineStr">
        <is>
          <t>Any stream</t>
        </is>
      </c>
      <c r="D6" s="11" t="inlineStr">
        <is>
          <t>Any</t>
        </is>
      </c>
      <c r="E6" s="4" t="inlineStr">
        <is>
          <t>When would you choose an event-driven design over request/response, and what do you give up?</t>
        </is>
      </c>
      <c r="F6" s="4" t="inlineStr">
        <is>
          <t>Event-driven suits work that is asynchronous by nature, fans out to several consumers, or must survive a downstream being unavailable — the producer records that something happened and moves on. It decouples producers from consumers and smooths load spikes. You give up the straight-line traceability of a call stack: debugging spans a broker, ordering is only guaranteed within a partition or session, delivery is at-least-once so consumers must be idempotent, and there is no simple synchronous error to return to the caller.</t>
        </is>
      </c>
      <c r="G6" s="36" t="inlineStr">
        <is>
          <t>Listen for idempotency and ordering unprompted. A candidate who only lists benefits has not run one in production.</t>
        </is>
      </c>
    </row>
    <row r="7" ht="118" customHeight="1">
      <c r="A7" s="11" t="n">
        <v>3</v>
      </c>
      <c r="B7" s="12" t="inlineStr">
        <is>
          <t>System design patterns</t>
        </is>
      </c>
      <c r="C7" s="11" t="inlineStr">
        <is>
          <t>Any stream</t>
        </is>
      </c>
      <c r="D7" s="11" t="inlineStr">
        <is>
          <t>Senior</t>
        </is>
      </c>
      <c r="E7" s="4" t="inlineStr">
        <is>
          <t>What is the Saga pattern, and how does choreography differ from orchestration?</t>
        </is>
      </c>
      <c r="F7" s="4" t="inlineStr">
        <is>
          <t>A saga keeps a business transaction consistent across services without a distributed transaction: each step commits locally and publishes an event, and failure triggers compensating actions that semantically undo earlier steps rather than rolling back. Choreography has each service react to events with no central coordinator — simple and loosely coupled, but the overall flow is implicit and hard to follow. Orchestration puts one coordinator in charge of calling each step and running compensations — the flow is explicit and easier to reason about and monitor, at the cost of a component that knows about everyone.</t>
        </is>
      </c>
      <c r="G7" s="36" t="inlineStr">
        <is>
          <t>Ask for a compensating action that is genuinely hard, such as an e-mail already sent or a payment already captured. Good candidates talk about semantic compensation rather than rollback.</t>
        </is>
      </c>
    </row>
    <row r="8" ht="118" customHeight="1">
      <c r="A8" s="11" t="n">
        <v>4</v>
      </c>
      <c r="B8" s="12" t="inlineStr">
        <is>
          <t>System design patterns</t>
        </is>
      </c>
      <c r="C8" s="11" t="inlineStr">
        <is>
          <t>Any stream</t>
        </is>
      </c>
      <c r="D8" s="11" t="inlineStr">
        <is>
          <t>Any</t>
        </is>
      </c>
      <c r="E8" s="4" t="inlineStr">
        <is>
          <t>Explain the circuit breaker pattern and how it differs from a retry.</t>
        </is>
      </c>
      <c r="F8" s="4" t="inlineStr">
        <is>
          <t>A retry re-attempts a failed call in the hope it was transient; a circuit breaker watches the failure rate and, past a threshold, stops calling the dependency at all for a cooling period, failing fast and letting it recover. After the timeout it half-opens, lets a trial call through, and closes on success. The two are complementary but retries alone are dangerous — they multiply load on a service that is already struggling, which is how a slow dependency becomes an outage. Retries need backoff, jitter, and a cap, and should only apply to idempotent operations.</t>
        </is>
      </c>
      <c r="G8" s="36" t="inlineStr">
        <is>
          <t>Ask what happens when every instance retries the same failing dependency at once. Look for the retry storm and for jitter.</t>
        </is>
      </c>
    </row>
    <row r="9" ht="118" customHeight="1">
      <c r="A9" s="11" t="n">
        <v>5</v>
      </c>
      <c r="B9" s="12" t="inlineStr">
        <is>
          <t>System design patterns</t>
        </is>
      </c>
      <c r="C9" s="11" t="inlineStr">
        <is>
          <t>Any stream</t>
        </is>
      </c>
      <c r="D9" s="11" t="inlineStr">
        <is>
          <t>Senior</t>
        </is>
      </c>
      <c r="E9" s="4" t="inlineStr">
        <is>
          <t>What is the outbox pattern and what failure does it prevent?</t>
        </is>
      </c>
      <c r="F9" s="4" t="inlineStr">
        <is>
          <t>Writing to your database and publishing to a broker are two separate systems, so a crash between them either loses the message or publishes an event for a transaction that rolled back. The outbox pattern writes the event into an outbox table inside the same local transaction as the state change, and a separate relay reads that table and publishes to the broker, marking rows as sent. The state change and the intent to publish commit atomically; the relay gives at-least-once delivery, so consumers still need to be idempotent.</t>
        </is>
      </c>
      <c r="G9" s="36" t="inlineStr">
        <is>
          <t>A candidate who says ‘use a distributed transaction’ or ‘publish first, then save’ has not hit this in production. Ask how the relay avoids publishing twice after its own crash.</t>
        </is>
      </c>
    </row>
    <row r="10" ht="118" customHeight="1">
      <c r="A10" s="11" t="n">
        <v>6</v>
      </c>
      <c r="B10" s="12" t="inlineStr">
        <is>
          <t>System design patterns</t>
        </is>
      </c>
      <c r="C10" s="11" t="inlineStr">
        <is>
          <t>.NET</t>
        </is>
      </c>
      <c r="D10" s="11" t="inlineStr">
        <is>
          <t>Any</t>
        </is>
      </c>
      <c r="E10" s="4" t="inlineStr">
        <is>
          <t>How do the repository and unit-of-work patterns relate, and is a repository over Entity Framework worth it?</t>
        </is>
      </c>
      <c r="F10" s="4" t="inlineStr">
        <is>
          <t>A repository abstracts a collection of aggregates behind a domain-shaped interface; unit of work tracks changes across repositories and commits them as one transaction. DbContext is already both — it tracks changes and SaveChanges is the unit of work — so wrapping it in a generic repository usually adds a layer that leaks IQueryable and buys little. The defensible reasons are keeping persistence concerns out of the domain, expressing queries in domain language, and making tests independent of EF, not ‘so we can swap the database’.</t>
        </is>
      </c>
      <c r="G10" s="36" t="inlineStr">
        <is>
          <t>The honest answer names the over-abstraction. Be wary of a rehearsed ‘it lets us swap out the ORM’, which almost never happens.</t>
        </is>
      </c>
    </row>
    <row r="11" ht="118" customHeight="1">
      <c r="A11" s="11" t="n">
        <v>7</v>
      </c>
      <c r="B11" s="12" t="inlineStr">
        <is>
          <t>System design patterns</t>
        </is>
      </c>
      <c r="C11" s="11" t="inlineStr">
        <is>
          <t>Java</t>
        </is>
      </c>
      <c r="D11" s="11" t="inlineStr">
        <is>
          <t>Any</t>
        </is>
      </c>
      <c r="E11" s="4" t="inlineStr">
        <is>
          <t>How does dependency injection work in Spring, and what problems do singleton-scoped beans create?</t>
        </is>
      </c>
      <c r="F11" s="4" t="inlineStr">
        <is>
          <t>Spring's container instantiates beans, resolves their dependencies and injects them, with constructor injection preferred because it makes dependencies explicit and allows final fields. The default scope is singleton — one instance per application context — so any mutable field on a bean is shared across every request thread and becomes a race. Request- or prototype-scoped beans, or simply keeping beans stateless and passing state as parameters, avoid it; injecting a shorter-scoped bean into a singleton needs a proxy or a provider.</t>
        </is>
      </c>
      <c r="G11" s="36" t="inlineStr">
        <is>
          <t>Ask what happens if they add a mutable field to a @Service. If they do not immediately see the concurrency problem, that is a gap.</t>
        </is>
      </c>
    </row>
    <row r="12" ht="118" customHeight="1">
      <c r="A12" s="11" t="n">
        <v>8</v>
      </c>
      <c r="B12" s="12" t="inlineStr">
        <is>
          <t>System design patterns</t>
        </is>
      </c>
      <c r="C12" s="11" t="inlineStr">
        <is>
          <t>Node / JS</t>
        </is>
      </c>
      <c r="D12" s="11" t="inlineStr">
        <is>
          <t>Any</t>
        </is>
      </c>
      <c r="E12" s="4" t="inlineStr">
        <is>
          <t>Node runs your JavaScript on a single thread. What does that mean for how you design a service?</t>
        </is>
      </c>
      <c r="F12" s="4" t="inlineStr">
        <is>
          <t>One thread runs the event loop, so any CPU-bound work — heavy JSON transforms, crypto, image work, synchronous file reads — blocks every other request on that process. I/O is fine because it is delegated to the platform and resumed via callbacks. So you keep handlers non-blocking, push CPU-heavy work to worker threads, a queue, or a separate service, and scale horizontally with the cluster module or multiple containers behind a load balancer. Unhandled promise rejections and a blocked loop are the two failure modes to watch.</t>
        </is>
      </c>
      <c r="G12" s="36" t="inlineStr">
        <is>
          <t>Ask how they would find a blocked event loop in production — event loop lag metrics, not guesswork.</t>
        </is>
      </c>
    </row>
    <row r="13" ht="118" customHeight="1">
      <c r="A13" s="11" t="n">
        <v>9</v>
      </c>
      <c r="B13" s="12" t="inlineStr">
        <is>
          <t>System design patterns</t>
        </is>
      </c>
      <c r="C13" s="11" t="inlineStr">
        <is>
          <t>Support</t>
        </is>
      </c>
      <c r="D13" s="11" t="inlineStr">
        <is>
          <t>Any</t>
        </is>
      </c>
      <c r="E13" s="4" t="inlineStr">
        <is>
          <t>Applications you support are built as microservices behind an API gateway. What does the gateway do, and why does that shape matter when you are triaging an incident?</t>
        </is>
      </c>
      <c r="F13" s="4" t="inlineStr">
        <is>
          <t>The gateway is the single entry point: it routes to the right service, terminates TLS, authenticates, applies rate limits and often aggregates responses. For triage it matters because a user-visible failure can be at the gateway, at one service, or at a dependency behind it — so you narrow by layer, checking gateway logs and status codes first, then the specific service, then its database or downstream. It also means one slow service can look like a site-wide outage if the gateway or a caller has no timeout, and that a correlation ID threaded through the hops is what makes a request traceable at all.</t>
        </is>
      </c>
      <c r="G13" s="36" t="inlineStr">
        <is>
          <t>Good answers reach for correlation IDs and per-layer narrowing. Weak answers describe restarting things.</t>
        </is>
      </c>
    </row>
    <row r="14" ht="118" customHeight="1">
      <c r="A14" s="11" t="n">
        <v>10</v>
      </c>
      <c r="B14" s="12" t="inlineStr">
        <is>
          <t>Integration patterns</t>
        </is>
      </c>
      <c r="C14" s="11" t="inlineStr">
        <is>
          <t>Any stream</t>
        </is>
      </c>
      <c r="D14" s="11" t="inlineStr">
        <is>
          <t>Any</t>
        </is>
      </c>
      <c r="E14" s="4" t="inlineStr">
        <is>
          <t>Two services must stay in step. Walk me through choosing between a synchronous API call, a message queue, and a shared database.</t>
        </is>
      </c>
      <c r="F14"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G14" s="36" t="inlineStr">
        <is>
          <t>Ask them to defend the shared database honestly — it is sometimes the pragmatic choice for a short migration window, but they should name the cost.</t>
        </is>
      </c>
    </row>
    <row r="15" ht="118" customHeight="1">
      <c r="A15" s="11" t="n">
        <v>11</v>
      </c>
      <c r="B15" s="12" t="inlineStr">
        <is>
          <t>Integration patterns</t>
        </is>
      </c>
      <c r="C15" s="11" t="inlineStr">
        <is>
          <t>Any stream</t>
        </is>
      </c>
      <c r="D15" s="11" t="inlineStr">
        <is>
          <t>Any</t>
        </is>
      </c>
      <c r="E15" s="4" t="inlineStr">
        <is>
          <t>What does idempotency mean for an API, and how would you make a payment endpoint idempotent?</t>
        </is>
      </c>
      <c r="F15" s="4" t="inlineStr">
        <is>
          <t>An idempotent operation produces the same result whether it is applied once or many times, which matters because networks make clients retry without knowing whether the first attempt landed. For payments the usual approach is a client-supplied idempotency key sent with the request; the server stores the key with the result of the first attempt and, on seeing it again, returns the stored result instead of charging again. The key needs a retention window, and the store-and-check must be atomic or two concurrent retries both pass the check.</t>
        </is>
      </c>
      <c r="G15" s="36" t="inlineStr">
        <is>
          <t>Ask what happens when two retries arrive at the same instant. The answer should involve a unique constraint or a lock, not ‘check then insert’.</t>
        </is>
      </c>
    </row>
    <row r="16" ht="118" customHeight="1">
      <c r="A16" s="11" t="n">
        <v>12</v>
      </c>
      <c r="B16" s="12" t="inlineStr">
        <is>
          <t>Integration patterns</t>
        </is>
      </c>
      <c r="C16" s="11" t="inlineStr">
        <is>
          <t>Any stream</t>
        </is>
      </c>
      <c r="D16" s="11" t="inlineStr">
        <is>
          <t>Senior</t>
        </is>
      </c>
      <c r="E16" s="4" t="inlineStr">
        <is>
          <t>How do you version a public API without breaking existing consumers?</t>
        </is>
      </c>
      <c r="F16" s="4" t="inlineStr">
        <is>
          <t>Prefer additive, backward-compatible change — new optional fields, new endpoints — so most consumers never need to move. When a breaking change is unavoidable, version explicitly (URI path or a media-type header), run both versions side by side, publish a deprecation window with dates, and instrument usage so you know who is still on the old one before you switch it off. Tolerant readers on the consumer side — ignore unknown fields, do not depend on field order — reduce how often you are forced to version at all.</t>
        </is>
      </c>
      <c r="G16" s="36" t="inlineStr">
        <is>
          <t>Look for measuring actual consumer usage before retiring a version. Anyone who says ‘we just announce it’ has not run a real deprecation.</t>
        </is>
      </c>
    </row>
    <row r="17" ht="118" customHeight="1">
      <c r="A17" s="11" t="n">
        <v>13</v>
      </c>
      <c r="B17" s="12" t="inlineStr">
        <is>
          <t>Integration patterns</t>
        </is>
      </c>
      <c r="C17" s="11" t="inlineStr">
        <is>
          <t>Any stream</t>
        </is>
      </c>
      <c r="D17" s="11" t="inlineStr">
        <is>
          <t>Any</t>
        </is>
      </c>
      <c r="E17" s="4" t="inlineStr">
        <is>
          <t>A downstream partner API is slow and occasionally times out. How do you stop that becoming your outage?</t>
        </is>
      </c>
      <c r="F17" s="4" t="inlineStr">
        <is>
          <t>Set an explicit, short timeout on every outbound call — the default of ‘none’ is what kills services — and bound the work with a circuit breaker so you fail fast while they are unhealthy. Isolate the calls with a bulkhead, a separate connection pool or thread pool, so their slowness cannot consume all your capacity. Retry only idempotent calls, with backoff and jitter and a cap. Then decide the degraded behaviour: serve cached or partial data, or queue the work and reconcile later, rather than propagating their failure to your user.</t>
        </is>
      </c>
      <c r="G17" s="36" t="inlineStr">
        <is>
          <t>Timeouts and bulkheads are the tell. A candidate who only says ‘retry’ is making the problem worse.</t>
        </is>
      </c>
    </row>
    <row r="18" ht="118" customHeight="1">
      <c r="A18" s="11" t="n">
        <v>14</v>
      </c>
      <c r="B18" s="12" t="inlineStr">
        <is>
          <t>Integration patterns</t>
        </is>
      </c>
      <c r="C18" s="11" t="inlineStr">
        <is>
          <t>Any stream</t>
        </is>
      </c>
      <c r="D18" s="11" t="inlineStr">
        <is>
          <t>Any</t>
        </is>
      </c>
      <c r="E18" s="4" t="inlineStr">
        <is>
          <t>Compare REST and messaging for integration. When is each the wrong choice?</t>
        </is>
      </c>
      <c r="F18" s="4" t="inlineStr">
        <is>
          <t>REST is right for synchronous, request-scoped reads and commands where the caller needs the outcome now and the contract is resource-shaped; it is the wrong choice for long-running work, for fan-out to many consumers, and where the callee's availability must not affect the caller. Messaging is right for asynchronous work, fan-out, load levelling and durability across outages; it is the wrong choice when the caller genuinely needs an answer to continue, or when the team has no appetite for the operational weight of a broker, dead-letter handling and poison-message replay.</t>
        </is>
      </c>
      <c r="G18" s="36" t="inlineStr">
        <is>
          <t>Ask what they do with a poison message. Dead-letter queues and a replay path separate theory from experience.</t>
        </is>
      </c>
    </row>
    <row r="19" ht="118" customHeight="1">
      <c r="A19" s="11" t="n">
        <v>15</v>
      </c>
      <c r="B19" s="12" t="inlineStr">
        <is>
          <t>Integration patterns</t>
        </is>
      </c>
      <c r="C19" s="11" t="inlineStr">
        <is>
          <t>.NET</t>
        </is>
      </c>
      <c r="D19" s="11" t="inlineStr">
        <is>
          <t>Any</t>
        </is>
      </c>
      <c r="E19" s="4" t="inlineStr">
        <is>
          <t>Azure Service Bus queues versus topics — when do you use each, and what do sessions and dead-lettering give you?</t>
        </is>
      </c>
      <c r="F19" s="4" t="inlineStr">
        <is>
          <t>A queue is point-to-point: one message, one consumer, competing consumers for throughput. A topic is publish/subscribe: each subscription gets its own copy, with filters deciding which messages it sees, so you add consumers without touching the producer. Sessions give FIFO ordering and state for a related group of messages — all events for one order — at the cost of throughput, since a session is handled by one consumer at a time. Dead-lettering moves messages that repeatedly fail or expire to a side queue so they stop blocking the main flow and can be inspected and replayed.</t>
        </is>
      </c>
      <c r="G19" s="36" t="inlineStr">
        <is>
          <t>Ask how they would replay a dead-lettered message safely. Idempotency should come up again here.</t>
        </is>
      </c>
    </row>
    <row r="20" ht="118" customHeight="1">
      <c r="A20" s="11" t="n">
        <v>16</v>
      </c>
      <c r="B20" s="12" t="inlineStr">
        <is>
          <t>Integration patterns</t>
        </is>
      </c>
      <c r="C20" s="11" t="inlineStr">
        <is>
          <t>Java</t>
        </is>
      </c>
      <c r="D20" s="11" t="inlineStr">
        <is>
          <t>Any</t>
        </is>
      </c>
      <c r="E20" s="4" t="inlineStr">
        <is>
          <t>In Kafka, how do partitions, consumer groups and offsets work together, and where does ordering actually hold?</t>
        </is>
      </c>
      <c r="F20" s="4" t="inlineStr">
        <is>
          <t>A topic is split into partitions; ordering is guaranteed only within a partition, not across the topic, and the partition is chosen by the message key — so all events for one entity must share a key to stay ordered. A consumer group divides partitions among its members, one partition to one consumer at a time, so group parallelism is capped by partition count. Offsets record how far a group has read; committing after processing gives at-least-once delivery, committing before gives at-most-once, and exactly-once needs transactions or an idempotent consumer.</t>
        </is>
      </c>
      <c r="G20" s="36" t="inlineStr">
        <is>
          <t>Ask what happens to ordering if they add partitions later, or rebalance mid-batch. Both are real production traps.</t>
        </is>
      </c>
    </row>
    <row r="21" ht="118" customHeight="1">
      <c r="A21" s="11" t="n">
        <v>17</v>
      </c>
      <c r="B21" s="12" t="inlineStr">
        <is>
          <t>Integration patterns</t>
        </is>
      </c>
      <c r="C21" s="11" t="inlineStr">
        <is>
          <t>Node / JS</t>
        </is>
      </c>
      <c r="D21" s="11" t="inlineStr">
        <is>
          <t>Any</t>
        </is>
      </c>
      <c r="E21" s="4" t="inlineStr">
        <is>
          <t>How would you design a webhook receiver that a third party calls, so it is reliable and not abusable?</t>
        </is>
      </c>
      <c r="F21" s="4" t="inlineStr">
        <is>
          <t>Verify authenticity first — an HMAC signature over the raw body with a shared secret, plus a timestamp to reject replays — then respond 2xx quickly and do the real work asynchronously, because providers time out and retry. Treat delivery as at-least-once and deduplicate on the provider's event ID, since the same event will arrive twice. Bound the risk: validate payload size and shape, rate limit per sender, and dead-letter events you cannot process so a single bad payload does not stall the pipeline.</t>
        </is>
      </c>
      <c r="G21" s="36" t="inlineStr">
        <is>
          <t>Verifying the signature over the raw, unparsed body is the detail most people miss. Ask about replay protection too.</t>
        </is>
      </c>
    </row>
    <row r="22" ht="118" customHeight="1">
      <c r="A22" s="11" t="n">
        <v>18</v>
      </c>
      <c r="B22" s="12" t="inlineStr">
        <is>
          <t>Integration patterns</t>
        </is>
      </c>
      <c r="C22" s="11" t="inlineStr">
        <is>
          <t>Support</t>
        </is>
      </c>
      <c r="D22" s="11" t="inlineStr">
        <is>
          <t>Any</t>
        </is>
      </c>
      <c r="E22" s="4" t="inlineStr">
        <is>
          <t>A nightly batch feed from an upstream system did not arrive and the downstream reports are wrong. Walk me through how you work that, and what the design should have had in place.</t>
        </is>
      </c>
      <c r="F22" s="4" t="inlineStr">
        <is>
          <t>Confirm the failure first: check the scheduler for the job state, the landing directory or queue for the file, and the upstream's own run status, so you know whether it failed, ran late, or never started. Establish blast radius — which reports and which business process — and communicate that with an ETA before fixing. Then either chase the upstream or reprocess once the file lands, validating record counts and checksums rather than assuming. By design it should have had a file-arrival SLA with alerting on absence, not just on failure, dependency-aware scheduling so downstream jobs do not run on stale data, and an idempotent reprocess path so a rerun cannot double-load.</t>
        </is>
      </c>
      <c r="G22" s="36" t="inlineStr">
        <is>
          <t>Alerting on a file that never arrives — as opposed to a job that errored — is the discriminating point. Also ask how a rerun avoids duplicates.</t>
        </is>
      </c>
    </row>
    <row r="23" ht="118" customHeight="1">
      <c r="A23" s="11" t="n">
        <v>19</v>
      </c>
      <c r="B23" s="12" t="inlineStr">
        <is>
          <t>Security considerations</t>
        </is>
      </c>
      <c r="C23" s="11" t="inlineStr">
        <is>
          <t>Any stream</t>
        </is>
      </c>
      <c r="D23" s="11" t="inlineStr">
        <is>
          <t>Any</t>
        </is>
      </c>
      <c r="E23" s="4" t="inlineStr">
        <is>
          <t>Explain the difference between authentication and authorisation, and where each belongs in a microservices setup.</t>
        </is>
      </c>
      <c r="F23"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G23" s="36" t="inlineStr">
        <is>
          <t>Ask where they would enforce ‘user A may only see their own orders’. If the answer is ‘at the gateway’, that is the gap.</t>
        </is>
      </c>
    </row>
    <row r="24" ht="118" customHeight="1">
      <c r="A24" s="11" t="n">
        <v>20</v>
      </c>
      <c r="B24" s="12" t="inlineStr">
        <is>
          <t>Security considerations</t>
        </is>
      </c>
      <c r="C24" s="11" t="inlineStr">
        <is>
          <t>Any stream</t>
        </is>
      </c>
      <c r="D24" s="11" t="inlineStr">
        <is>
          <t>Any</t>
        </is>
      </c>
      <c r="E24" s="4" t="inlineStr">
        <is>
          <t>What is OAuth 2.0 actually for, and how does an access token differ from an ID token?</t>
        </is>
      </c>
      <c r="F24" s="4" t="inlineStr">
        <is>
          <t>OAuth 2.0 is a delegated authorisation framework: it lets an application act on a resource owner's behalf without holding their password. An access token is for the API — it carries scopes saying what the bearer may do and the API validates it. An ID token is OpenID Connect, not OAuth proper: it is a statement to the client about who authenticated and when, and should never be sent to an API as a credential. Access tokens should be short-lived with refresh tokens held server-side; for browser apps the authorisation code flow with PKCE is the current guidance, not implicit.</t>
        </is>
      </c>
      <c r="G24" s="36" t="inlineStr">
        <is>
          <t>Conflating the two tokens is common. Ask which one they would send in an Authorization header, and why implicit flow fell out of favour.</t>
        </is>
      </c>
    </row>
    <row r="25" ht="118" customHeight="1">
      <c r="A25" s="11" t="n">
        <v>21</v>
      </c>
      <c r="B25" s="12" t="inlineStr">
        <is>
          <t>Security considerations</t>
        </is>
      </c>
      <c r="C25" s="11" t="inlineStr">
        <is>
          <t>Any stream</t>
        </is>
      </c>
      <c r="D25" s="11" t="inlineStr">
        <is>
          <t>Any</t>
        </is>
      </c>
      <c r="E25" s="4" t="inlineStr">
        <is>
          <t>How do you keep secrets — connection strings, API keys — out of trouble across environments?</t>
        </is>
      </c>
      <c r="F25" s="4" t="inlineStr">
        <is>
          <t>They never live in source control or config files in the repo. They sit in a managed secret store — Key Vault, Secrets Manager, or the platform's own — and are read at startup or on demand by an identity the workload already has, so there is no bootstrap secret to protect. Prefer managed identity or workload identity over a stored credential entirely. Beyond storage: scope each secret to least privilege, rotate on a schedule and after any suspected exposure, keep them out of logs and exception messages, and scan the repository and CI history so an old committed key is actually found.</t>
        </is>
      </c>
      <c r="G25" s="36" t="inlineStr">
        <is>
          <t>Managed identity — removing the credential rather than hiding it — is the senior answer. Ask what they do the day a key leaks.</t>
        </is>
      </c>
    </row>
    <row r="26" ht="118" customHeight="1">
      <c r="A26" s="11" t="n">
        <v>22</v>
      </c>
      <c r="B26" s="12" t="inlineStr">
        <is>
          <t>Security considerations</t>
        </is>
      </c>
      <c r="C26" s="11" t="inlineStr">
        <is>
          <t>Any stream</t>
        </is>
      </c>
      <c r="D26" s="11" t="inlineStr">
        <is>
          <t>Senior</t>
        </is>
      </c>
      <c r="E26" s="4" t="inlineStr">
        <is>
          <t>Name the injection and access-control risks you design against, and how you prevent them.</t>
        </is>
      </c>
      <c r="F26" s="4" t="inlineStr">
        <is>
          <t>SQL injection is prevented by parameterised queries or an ORM, never string concatenation, with stored procedures no protection if they concatenate internally. Cross-site scripting is prevented by contextual output encoding and a content security policy, not input blacklists. Broken access control — the most common real-world failure — means every request re-checks authorisation server-side against the authenticated identity, never trusting an ID in the URL or a role claim from the client. Add CSRF protection for cookie-based sessions, validate and bound all input, and avoid mass assignment by binding to an explicit DTO rather than the domain entity.</t>
        </is>
      </c>
      <c r="G26" s="36" t="inlineStr">
        <is>
          <t>Insecure direct object reference is the one to probe: ‘what stops me changing the id in the URL to someone else's?’</t>
        </is>
      </c>
    </row>
    <row r="27" ht="118" customHeight="1">
      <c r="A27" s="11" t="n">
        <v>23</v>
      </c>
      <c r="B27" s="12" t="inlineStr">
        <is>
          <t>Security considerations</t>
        </is>
      </c>
      <c r="C27" s="11" t="inlineStr">
        <is>
          <t>Any stream</t>
        </is>
      </c>
      <c r="D27" s="11" t="inlineStr">
        <is>
          <t>Any</t>
        </is>
      </c>
      <c r="E27" s="4" t="inlineStr">
        <is>
          <t>What does defence in depth mean, and what would you put between the internet and a database?</t>
        </is>
      </c>
      <c r="F27" s="4" t="inlineStr">
        <is>
          <t>No single control is trusted to hold, so independent layers each reduce risk and a breach of one does not expose everything. From the edge inward: WAF and DDoS protection, TLS termination, an authenticating gateway with rate limits, then application-layer authorisation, then network segmentation so the database is not routable from the internet at all, private endpoints and firewall rules, a least-privilege database account rather than a superuser, encryption at rest and in transit, and audit logging. Each layer assumes the one outside it has already failed.</t>
        </is>
      </c>
      <c r="G27" s="36" t="inlineStr">
        <is>
          <t>Look for network segmentation and least-privilege database accounts, not just ‘we use HTTPS and a firewall’.</t>
        </is>
      </c>
    </row>
    <row r="28" ht="118" customHeight="1">
      <c r="A28" s="11" t="n">
        <v>24</v>
      </c>
      <c r="B28" s="12" t="inlineStr">
        <is>
          <t>Security considerations</t>
        </is>
      </c>
      <c r="C28" s="11" t="inlineStr">
        <is>
          <t>.NET</t>
        </is>
      </c>
      <c r="D28" s="11" t="inlineStr">
        <is>
          <t>Any</t>
        </is>
      </c>
      <c r="E28" s="4" t="inlineStr">
        <is>
          <t>How does Microsoft Entra ID fit into securing an ASP.NET Core API, and what is managed identity doing for you?</t>
        </is>
      </c>
      <c r="F28" s="4" t="inlineStr">
        <is>
          <t>Entra ID issues OAuth 2.0 / OIDC tokens; the API validates the JWT's signature against Entra's published keys and checks issuer, audience, expiry and the scopes or app roles it requires — configured through the JWT bearer middleware, with authorisation policies rather than scattered role checks. Managed identity removes the credential problem for service-to-service and resource access: Azure gives the app an identity in the directory, the platform supplies tokens at runtime, and nothing has to store a client secret. RBAC on the target resource then decides what that identity may do.</t>
        </is>
      </c>
      <c r="G28" s="36" t="inlineStr">
        <is>
          <t>Ask the difference between system-assigned and user-assigned managed identity, and when a user-assigned one is worth it.</t>
        </is>
      </c>
    </row>
    <row r="29" ht="118" customHeight="1">
      <c r="A29" s="11" t="n">
        <v>25</v>
      </c>
      <c r="B29" s="12" t="inlineStr">
        <is>
          <t>Security considerations</t>
        </is>
      </c>
      <c r="C29" s="11" t="inlineStr">
        <is>
          <t>Java</t>
        </is>
      </c>
      <c r="D29" s="11" t="inlineStr">
        <is>
          <t>Any</t>
        </is>
      </c>
      <c r="E29" s="4" t="inlineStr">
        <is>
          <t>How would you secure a Spring Boot service, and what does the filter chain give you?</t>
        </is>
      </c>
      <c r="F29" s="4" t="inlineStr">
        <is>
          <t>Spring Security inserts a chain of servlet filters ahead of the application: authentication filters establish the principal, then authorisation decisions are made against the request. For an API you disable form login and session-based CSRF, configure it stateless, and validate a JWT as a resource server, mapping claims to authorities. Method-level annotations then enforce fine-grained rules close to the logic. Beyond that: keep dependencies patched — Log4Shell and Spring4Shell are the reminder — run with a non-root user, and never expose actuator endpoints publicly without securing them.</t>
        </is>
      </c>
      <c r="G29" s="36" t="inlineStr">
        <is>
          <t>Ask why CSRF protection is usually disabled for a stateless API but essential for a cookie-based one.</t>
        </is>
      </c>
    </row>
    <row r="30" ht="118" customHeight="1">
      <c r="A30" s="11" t="n">
        <v>26</v>
      </c>
      <c r="B30" s="12" t="inlineStr">
        <is>
          <t>Security considerations</t>
        </is>
      </c>
      <c r="C30" s="11" t="inlineStr">
        <is>
          <t>Node / JS</t>
        </is>
      </c>
      <c r="D30" s="11" t="inlineStr">
        <is>
          <t>Any</t>
        </is>
      </c>
      <c r="E30" s="4" t="inlineStr">
        <is>
          <t>What are the main security risks specific to a Node and npm application, and how do you manage them?</t>
        </is>
      </c>
      <c r="F30" s="4" t="inlineStr">
        <is>
          <t>The dependency tree is the big one: a small application pulls in hundreds of transitive packages, so you pin versions with a lockfile, audit continuously, watch for typosquatting and unmaintained packages, and keep CI failing on known critical advisories. Beyond that: never build shell commands from user input, prototype pollution through unsafe deep-merge of request bodies, regular expressions that backtrack catastrophically and block the single thread, and JWTs verified with an explicit algorithm rather than trusting the header. Run the process as non-root and keep secrets out of environment dumps and error responses.</t>
        </is>
      </c>
      <c r="G30" s="36" t="inlineStr">
        <is>
          <t>Prototype pollution and ReDoS are the ones that separate a Node specialist from a generalist.</t>
        </is>
      </c>
    </row>
    <row r="31" ht="118" customHeight="1">
      <c r="A31" s="11" t="n">
        <v>27</v>
      </c>
      <c r="B31" s="12" t="inlineStr">
        <is>
          <t>Security considerations</t>
        </is>
      </c>
      <c r="C31" s="11" t="inlineStr">
        <is>
          <t>Support</t>
        </is>
      </c>
      <c r="D31" s="11" t="inlineStr">
        <is>
          <t>Any</t>
        </is>
      </c>
      <c r="E31" s="4" t="inlineStr">
        <is>
          <t>You are supporting a banking platform. What are your obligations around production data, and how does maker-checker protect the bank?</t>
        </is>
      </c>
      <c r="F31" s="4" t="inlineStr">
        <is>
          <t>Production access is least-privilege and audited: you use a named account, read-only where possible, elevate through an approved change for anything that writes, and never extract customer data to a local machine or a ticket attachment. PII and card data are masked in logs and lower environments. Maker-checker separates duties so the person requesting a customer-impacting change is not the person approving it — it protects against both error and fraud, and the audit trail of who raised and who approved is itself the control. Any direct data fix goes through change management with a rollback and a record of rows touched.</t>
        </is>
      </c>
      <c r="G31" s="36" t="inlineStr">
        <is>
          <t>Ask what they would do if asked to run an UPDATE on production to fix a customer's balance quickly. The right answer involves refusing the shortcut.</t>
        </is>
      </c>
    </row>
    <row r="32" ht="118" customHeight="1">
      <c r="A32" s="11" t="n">
        <v>28</v>
      </c>
      <c r="B32" s="12" t="inlineStr">
        <is>
          <t>Scalability</t>
        </is>
      </c>
      <c r="C32" s="11" t="inlineStr">
        <is>
          <t>Any stream</t>
        </is>
      </c>
      <c r="D32" s="11" t="inlineStr">
        <is>
          <t>Any</t>
        </is>
      </c>
      <c r="E32" s="4" t="inlineStr">
        <is>
          <t>Vertical versus horizontal scaling — and what has to be true of your application before horizontal works?</t>
        </is>
      </c>
      <c r="F32"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G32" s="36" t="inlineStr">
        <is>
          <t>The scheduler running on every instance is a classic. Ask what happens to their background job when they scale to three pods.</t>
        </is>
      </c>
    </row>
    <row r="33" ht="118" customHeight="1">
      <c r="A33" s="11" t="n">
        <v>29</v>
      </c>
      <c r="B33" s="12" t="inlineStr">
        <is>
          <t>Scalability</t>
        </is>
      </c>
      <c r="C33" s="11" t="inlineStr">
        <is>
          <t>Any stream</t>
        </is>
      </c>
      <c r="D33" s="11" t="inlineStr">
        <is>
          <t>Any</t>
        </is>
      </c>
      <c r="E33" s="4" t="inlineStr">
        <is>
          <t>Where would you introduce caching, and how do you handle invalidation?</t>
        </is>
      </c>
      <c r="F33" s="4" t="inlineStr">
        <is>
          <t>Closest to the consumer first — CDN for static assets, HTTP caching headers, then a distributed cache such as Redis for expensive shared reads, then the database's own buffer. Pick the strategy deliberately: cache-aside is the default, read-through and write-through when you want the cache authoritative. Invalidation is the hard half: a short TTL bounds staleness cheaply, event-based invalidation is precise but needs the write path to publish, and versioned keys avoid the update-and-delete race entirely. Guard against stampede with a lock or staggered expiry so a popular key expiring does not send every request to the database at once.</t>
        </is>
      </c>
      <c r="G33" s="36" t="inlineStr">
        <is>
          <t>Cache stampede and the thundering herd are the mark of production experience. Ask what happens when a hot key expires under load.</t>
        </is>
      </c>
    </row>
    <row r="34" ht="118" customHeight="1">
      <c r="A34" s="11" t="n">
        <v>30</v>
      </c>
      <c r="B34" s="12" t="inlineStr">
        <is>
          <t>Scalability</t>
        </is>
      </c>
      <c r="C34" s="11" t="inlineStr">
        <is>
          <t>Any stream</t>
        </is>
      </c>
      <c r="D34" s="11" t="inlineStr">
        <is>
          <t>Any</t>
        </is>
      </c>
      <c r="E34" s="4" t="inlineStr">
        <is>
          <t>A read-heavy API is slowing down under growth. Walk me through diagnosing and fixing it, in order.</t>
        </is>
      </c>
      <c r="F34" s="4" t="inlineStr">
        <is>
          <t>Measure first: find whether latency is in the application, the database or a downstream, using traces and percentiles rather than averages — the p99 is what users feel. Usually it is the database, so look at the slow query log and execution plans for missing or unused indexes, N+1 patterns from the ORM, and queries selecting far more than needed. Fix the query and the index before adding infrastructure. Then cache the expensive, stable reads; then add read replicas and route reads to them, accepting replication lag; then consider denormalised projections. Adding servers ahead of fixing a missing index just multiplies the cost of the same bad query.</t>
        </is>
      </c>
      <c r="G34" s="36" t="inlineStr">
        <is>
          <t>Order matters. A candidate who starts with ‘add more instances’ or ‘move to NoSQL’ is guessing.</t>
        </is>
      </c>
    </row>
    <row r="35" ht="118" customHeight="1">
      <c r="A35" s="11" t="n">
        <v>31</v>
      </c>
      <c r="B35" s="12" t="inlineStr">
        <is>
          <t>Scalability</t>
        </is>
      </c>
      <c r="C35" s="11" t="inlineStr">
        <is>
          <t>Any stream</t>
        </is>
      </c>
      <c r="D35" s="11" t="inlineStr">
        <is>
          <t>Senior</t>
        </is>
      </c>
      <c r="E35" s="4" t="inlineStr">
        <is>
          <t>Explain database sharding and the problems it creates.</t>
        </is>
      </c>
      <c r="F35" s="4" t="inlineStr">
        <is>
          <t>Sharding partitions rows across independent databases by a shard key, so each holds a subset and writes scale beyond one machine. The shard key decides everything: a poor one creates hot shards, and a key you cannot query by forces scatter-gather across every shard. Cross-shard joins and transactions effectively stop being available, so the data model must keep related data in one shard. Rebalancing as you grow is the real pain — consistent hashing or a lookup table of ranges makes it tractable. Because of all that, it is a last resort after read replicas, caching and query tuning.</t>
        </is>
      </c>
      <c r="G35" s="36" t="inlineStr">
        <is>
          <t>Ask them to pick a shard key for a multi-tenant SaaS and defend it against a single very large tenant.</t>
        </is>
      </c>
    </row>
    <row r="36" ht="118" customHeight="1">
      <c r="A36" s="11" t="n">
        <v>32</v>
      </c>
      <c r="B36" s="12" t="inlineStr">
        <is>
          <t>Scalability</t>
        </is>
      </c>
      <c r="C36" s="11" t="inlineStr">
        <is>
          <t>Any stream</t>
        </is>
      </c>
      <c r="D36" s="11" t="inlineStr">
        <is>
          <t>Any</t>
        </is>
      </c>
      <c r="E36" s="4" t="inlineStr">
        <is>
          <t>What is backpressure, and how do you apply it?</t>
        </is>
      </c>
      <c r="F36" s="4" t="inlineStr">
        <is>
          <t>Backpressure is the system telling an upstream producer to slow down rather than silently accumulating work it cannot finish — without it, queues grow, memory fills and latency climbs until something falls over. In practice it is bounded queues that reject or block when full, rate limiting and quotas at the edge, concurrency limits on worker pools, a 429 with Retry-After so clients back off, and load shedding that drops low-priority work to protect the critical path. The principle is that failing fast and visibly beats degrading slowly and invisibly.</t>
        </is>
      </c>
      <c r="G36" s="36" t="inlineStr">
        <is>
          <t>Look for bounded queues. An unbounded in-memory queue is the anti-pattern to name.</t>
        </is>
      </c>
    </row>
    <row r="37" ht="118" customHeight="1">
      <c r="A37" s="11" t="n">
        <v>33</v>
      </c>
      <c r="B37" s="12" t="inlineStr">
        <is>
          <t>Scalability</t>
        </is>
      </c>
      <c r="C37" s="11" t="inlineStr">
        <is>
          <t>.NET</t>
        </is>
      </c>
      <c r="D37" s="11" t="inlineStr">
        <is>
          <t>Any</t>
        </is>
      </c>
      <c r="E37" s="4" t="inlineStr">
        <is>
          <t>How does async/await in .NET help throughput, and when does it not?</t>
        </is>
      </c>
      <c r="F37" s="4" t="inlineStr">
        <is>
          <t>For I/O-bound work, await releases the thread back to the pool while the operation is outstanding, so a fixed number of threads serves far more concurrent requests — that is a throughput win, not a latency win for the individual call. It does nothing for CPU-bound work, where it only adds overhead. The traps are blocking on async code with .Result or .Wait(), which can deadlock and certainly wastes threads; async void outside event handlers, which loses exceptions; and forgetting ConfigureAwait(false) in library code on a framework with a synchronisation context.</t>
        </is>
      </c>
      <c r="G37" s="36" t="inlineStr">
        <is>
          <t>Ask them to explain thread pool starvation. That is where sync-over-async actually bites.</t>
        </is>
      </c>
    </row>
    <row r="38" ht="118" customHeight="1">
      <c r="A38" s="11" t="n">
        <v>34</v>
      </c>
      <c r="B38" s="12" t="inlineStr">
        <is>
          <t>Scalability</t>
        </is>
      </c>
      <c r="C38" s="11" t="inlineStr">
        <is>
          <t>Java</t>
        </is>
      </c>
      <c r="D38" s="11" t="inlineStr">
        <is>
          <t>Any</t>
        </is>
      </c>
      <c r="E38" s="4" t="inlineStr">
        <is>
          <t>How do you tune a JVM service for throughput, and what do you look at when it slows down?</t>
        </is>
      </c>
      <c r="F38" s="4" t="inlineStr">
        <is>
          <t>Start with evidence, not flags: heap usage and GC pause time and frequency from GC logs, thread states from a thread dump, and allocation rate from a profiler. Most ‘GC problems’ are really allocation problems or a leak — a growing old generation across full GCs means retention, not tuning. Set heap explicitly and match the collector to the goal, G1 for balanced pause and throughput. Beyond the JVM, connection pool size is a frequent bottleneck: too small and threads queue, too large and the database is overwhelmed. Thread dumps during a stall usually show the real answer.</t>
        </is>
      </c>
      <c r="G38" s="36" t="inlineStr">
        <is>
          <t>Ask what a heap that keeps growing after full GC tells them. Also listen for connection pool sizing — commonly missed.</t>
        </is>
      </c>
    </row>
    <row r="39" ht="118" customHeight="1">
      <c r="A39" s="11" t="n">
        <v>35</v>
      </c>
      <c r="B39" s="12" t="inlineStr">
        <is>
          <t>Scalability</t>
        </is>
      </c>
      <c r="C39" s="11" t="inlineStr">
        <is>
          <t>Node / JS</t>
        </is>
      </c>
      <c r="D39" s="11" t="inlineStr">
        <is>
          <t>Any</t>
        </is>
      </c>
      <c r="E39" s="4" t="inlineStr">
        <is>
          <t>How do you scale a Node service, and how do you find what is limiting it?</t>
        </is>
      </c>
      <c r="F39" s="4" t="inlineStr">
        <is>
          <t>One process uses one core, so the first step is one process per core via cluster or, better, multiple containers behind a load balancer, which also gives you rolling deploys. Keep processes stateless so any instance can serve any request, with session and cache in Redis. To find the limit, measure event loop lag first — if it climbs, something is blocking the loop and no amount of horizontal scale fixes the per-request latency. Then look at outbound connection pools and keep-alive, at synchronous work hidden in libraries, and at memory growth from retained closures or unbounded caches.</t>
        </is>
      </c>
      <c r="G39" s="36" t="inlineStr">
        <is>
          <t>Event loop lag as the primary signal is the answer worth hearing.</t>
        </is>
      </c>
    </row>
    <row r="40" ht="118" customHeight="1">
      <c r="A40" s="11" t="n">
        <v>36</v>
      </c>
      <c r="B40" s="12" t="inlineStr">
        <is>
          <t>Scalability</t>
        </is>
      </c>
      <c r="C40" s="11" t="inlineStr">
        <is>
          <t>Support</t>
        </is>
      </c>
      <c r="D40" s="11" t="inlineStr">
        <is>
          <t>Any</t>
        </is>
      </c>
      <c r="E40" s="4" t="inlineStr">
        <is>
          <t>An overnight batch is finishing later each week and now threatens the SLA. How do you approach it?</t>
        </is>
      </c>
      <c r="F40" s="4" t="inlineStr">
        <is>
          <t>Trend it first: get the run durations over weeks and find whether the whole job or one step is growing, because the fix differs. Usually it is data volume against a query whose plan has tipped, or a dependency that now starts later. Check the execution plan and indexes for the heavy step, look for growth in the driving tables, and confirm whether the window itself shrank because an upstream feed moved. Short term, protect the SLA by re-sequencing or splitting the job; longer term the fixes are partitioning or archiving the growing table, parallelising independent steps, or moving to incremental rather than full processing. Then add alerting on run duration trending, not just on failure.</t>
        </is>
      </c>
      <c r="G40" s="36" t="inlineStr">
        <is>
          <t>Alerting on a job that is merely getting slower — before it breaches — is what separates proactive from reactive support.</t>
        </is>
      </c>
    </row>
    <row r="41" ht="118" customHeight="1">
      <c r="A41" s="11" t="n">
        <v>37</v>
      </c>
      <c r="B41" s="12" t="inlineStr">
        <is>
          <t>Multi-tenancy</t>
        </is>
      </c>
      <c r="C41" s="11" t="inlineStr">
        <is>
          <t>Any stream</t>
        </is>
      </c>
      <c r="D41" s="11" t="inlineStr">
        <is>
          <t>Any</t>
        </is>
      </c>
      <c r="E41" s="4" t="inlineStr">
        <is>
          <t>Describe the models for multi-tenant data isolation and the trade-offs between them.</t>
        </is>
      </c>
      <c r="F41"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G41" s="36" t="inlineStr">
        <is>
          <t>Ask which they would choose for a regulated banking client with a data-residency requirement, and why.</t>
        </is>
      </c>
    </row>
    <row r="42" ht="118" customHeight="1">
      <c r="A42" s="11" t="n">
        <v>38</v>
      </c>
      <c r="B42" s="12" t="inlineStr">
        <is>
          <t>Multi-tenancy</t>
        </is>
      </c>
      <c r="C42" s="11" t="inlineStr">
        <is>
          <t>Any stream</t>
        </is>
      </c>
      <c r="D42" s="11" t="inlineStr">
        <is>
          <t>Senior</t>
        </is>
      </c>
      <c r="E42" s="4" t="inlineStr">
        <is>
          <t>In a shared-schema design, how do you make sure one tenant can never read another's data?</t>
        </is>
      </c>
      <c r="F42" s="4" t="inlineStr">
        <is>
          <t>Never rely on developers remembering a filter. The tenant identity comes from the authenticated token, never from a request parameter the client can change. Then enforce it below the query: a global query filter in the ORM, or row-level security in the database keyed to a session variable set from the token, so an unfiltered query returns nothing rather than everything. Add a repository layer that cannot construct a tenant-less query, tests that assert cross-tenant reads fail, and a database account without the privilege to bypass RLS. Defence in depth, because the failure mode is a breach, not a bug.</t>
        </is>
      </c>
      <c r="G42" s="36" t="inlineStr">
        <is>
          <t>‘We always add a WHERE clause’ is the wrong answer. Look for enforcement the developer cannot forget.</t>
        </is>
      </c>
    </row>
    <row r="43" ht="118" customHeight="1">
      <c r="A43" s="11" t="n">
        <v>39</v>
      </c>
      <c r="B43" s="12" t="inlineStr">
        <is>
          <t>Multi-tenancy</t>
        </is>
      </c>
      <c r="C43" s="11" t="inlineStr">
        <is>
          <t>Any stream</t>
        </is>
      </c>
      <c r="D43" s="11" t="inlineStr">
        <is>
          <t>Any</t>
        </is>
      </c>
      <c r="E43" s="4" t="inlineStr">
        <is>
          <t>How do you stop one tenant degrading service for everyone — the noisy neighbour problem?</t>
        </is>
      </c>
      <c r="F43" s="4" t="inlineStr">
        <is>
          <t>Measure per tenant first, so you can attribute load rather than guess. Then apply quotas and rate limits per tenant at the gateway, not just globally, and enforce concurrency caps so one tenant's burst cannot occupy every worker. Isolate expensive work — reports, bulk imports — onto separate queues or worker pools with their own limits, so an eight-hour export does not starve interactive traffic. For tenants who genuinely need more, the answer is a dedicated tier or shard rather than letting them consume the shared pool.</t>
        </is>
      </c>
      <c r="G43" s="36" t="inlineStr">
        <is>
          <t>Per-tenant metrics are the prerequisite. Ask how they would even know which tenant caused yesterday's slowdown.</t>
        </is>
      </c>
    </row>
    <row r="44" ht="118" customHeight="1">
      <c r="A44" s="11" t="n">
        <v>40</v>
      </c>
      <c r="B44" s="12" t="inlineStr">
        <is>
          <t>Multi-tenancy</t>
        </is>
      </c>
      <c r="C44" s="11" t="inlineStr">
        <is>
          <t>Any stream</t>
        </is>
      </c>
      <c r="D44" s="11" t="inlineStr">
        <is>
          <t>Any</t>
        </is>
      </c>
      <c r="E44" s="4" t="inlineStr">
        <is>
          <t>How do you handle per-tenant configuration and customisation without forking the product?</t>
        </is>
      </c>
      <c r="F44" s="4" t="inlineStr">
        <is>
          <t>Keep it as data, not code. A tenant configuration store holds feature flags, limits, branding and workflow options, resolved at runtime with sensible defaults so a new tenant needs no entries. Where behaviour genuinely differs, use a strategy or plugin interface with the implementation selected by configuration, rather than conditionals scattered through the codebase. Version the configuration schema and validate it, and keep a hard rule that no tenant gets a code branch — the moment one does, every future release has to be tested twice.</t>
        </is>
      </c>
      <c r="G44" s="36" t="inlineStr">
        <is>
          <t>Ask what they do when a large client demands behaviour no configuration flag supports. Listen for how they resist the fork.</t>
        </is>
      </c>
    </row>
    <row r="45" ht="118" customHeight="1">
      <c r="A45" s="11" t="n">
        <v>41</v>
      </c>
      <c r="B45" s="12" t="inlineStr">
        <is>
          <t>Multi-tenancy</t>
        </is>
      </c>
      <c r="C45" s="11" t="inlineStr">
        <is>
          <t>Any stream</t>
        </is>
      </c>
      <c r="D45" s="11" t="inlineStr">
        <is>
          <t>Senior</t>
        </is>
      </c>
      <c r="E45" s="4" t="inlineStr">
        <is>
          <t>How do schema migrations and per-tenant onboarding work when you have hundreds of tenants?</t>
        </is>
      </c>
      <c r="F45" s="4" t="inlineStr">
        <is>
          <t>Migrations must be automated, versioned and idempotent, applied by a tool such as Flyway or EF migrations rather than by hand, and they must be backward compatible so old and new application versions can both run against the schema during a rolling deploy — expand first, migrate data, contract later. With a database per tenant you need an orchestrated run across all of them with per-tenant status tracking, retry for failures, and the ability to resume; you cannot have tenant 300 fail and leave the estate half-migrated. Onboarding should be a single automated path that provisions storage, seeds reference data and registers the tenant, so adding a tenant is not a project.</t>
        </is>
      </c>
      <c r="G45" s="36" t="inlineStr">
        <is>
          <t>Expand-and-contract is the phrase to listen for. Ask how they deploy a column rename with zero downtime.</t>
        </is>
      </c>
    </row>
    <row r="46" ht="118" customHeight="1">
      <c r="A46" s="11" t="n">
        <v>42</v>
      </c>
      <c r="B46" s="12" t="inlineStr">
        <is>
          <t>Multi-tenancy</t>
        </is>
      </c>
      <c r="C46" s="11" t="inlineStr">
        <is>
          <t>.NET</t>
        </is>
      </c>
      <c r="D46" s="11" t="inlineStr">
        <is>
          <t>Any</t>
        </is>
      </c>
      <c r="E46" s="4" t="inlineStr">
        <is>
          <t>How would you implement tenant resolution and isolation in an ASP.NET Core application?</t>
        </is>
      </c>
      <c r="F46" s="4" t="inlineStr">
        <is>
          <t>Resolve the tenant early, in middleware, from the authenticated token's tenant claim — or from host name or route for pre-auth flows — and put it in a scoped service so everything downstream in that request can see it without passing it around. Then enforce it in the data layer: EF Core global query filters applied to every tenant-scoped entity so a forgotten WHERE cannot leak, and the tenant set on insert automatically via SaveChanges rather than by the caller. Keep caches tenant-keyed so one tenant cannot be served another's cached response, and make sure background jobs establish tenant context explicitly since there is no request to derive it from.</t>
        </is>
      </c>
      <c r="G46" s="36" t="inlineStr">
        <is>
          <t>Background jobs and cache keys are where tenant context usually leaks. Ask about both.</t>
        </is>
      </c>
    </row>
    <row r="47" ht="118" customHeight="1">
      <c r="A47" s="11" t="n">
        <v>43</v>
      </c>
      <c r="B47" s="12" t="inlineStr">
        <is>
          <t>Multi-tenancy</t>
        </is>
      </c>
      <c r="C47" s="11" t="inlineStr">
        <is>
          <t>Java</t>
        </is>
      </c>
      <c r="D47" s="11" t="inlineStr">
        <is>
          <t>Any</t>
        </is>
      </c>
      <c r="E47" s="4" t="inlineStr">
        <is>
          <t>How would you implement multi-tenancy in a Spring Boot and JPA application?</t>
        </is>
      </c>
      <c r="F47" s="4" t="inlineStr">
        <is>
          <t>Resolve the tenant in a filter or interceptor from the JWT claim and hold it in a ThreadLocal context, being careful to clear it and to propagate it explicitly across async boundaries and thread pools, where a ThreadLocal will not follow. For separate databases, a routing DataSource selects the connection per tenant; for shared schema, Hibernate filters or a tenant-aware base entity apply the predicate centrally, or row-level security enforces it in the database. Connection pooling needs thought with database-per-tenant, since a pool per tenant multiplies connections quickly.</t>
        </is>
      </c>
      <c r="G47" s="36" t="inlineStr">
        <is>
          <t>The ThreadLocal not surviving an @Async call or a CompletableFuture is the trap. Ask how they handle it.</t>
        </is>
      </c>
    </row>
    <row r="48" ht="118" customHeight="1">
      <c r="A48" s="11" t="n">
        <v>44</v>
      </c>
      <c r="B48" s="12" t="inlineStr">
        <is>
          <t>Multi-tenancy</t>
        </is>
      </c>
      <c r="C48" s="11" t="inlineStr">
        <is>
          <t>Support</t>
        </is>
      </c>
      <c r="D48" s="11" t="inlineStr">
        <is>
          <t>Any</t>
        </is>
      </c>
      <c r="E48" s="4" t="inlineStr">
        <is>
          <t>You support a platform serving several client organisations from shared infrastructure. What does that change about how you handle an incident?</t>
        </is>
      </c>
      <c r="F48" s="4" t="inlineStr">
        <is>
          <t>Scope first: establish whether the problem is one tenant or all of them, because that changes both the diagnosis and who you tell — a single-tenant issue is usually data or configuration, an all-tenant issue is usually shared infrastructure. Communications must be tenant-scoped so you do not tell every client about another's outage, and nothing you share can leak one client's data into another's ticket. When you query production to investigate, filter by that tenant and use read-only access, since a broad query can both expose and lock across tenants. And check whether one tenant's volume caused it, because noisy neighbours show up as a shared-infrastructure incident.</t>
        </is>
      </c>
      <c r="G48" s="36" t="inlineStr">
        <is>
          <t>Look for the instinct to scope by tenant before diagnosing, and for care about cross-tenant disclosure in comms.</t>
        </is>
      </c>
    </row>
    <row r="49" ht="118" customHeight="1">
      <c r="A49" s="11" t="n">
        <v>45</v>
      </c>
      <c r="B49" s="12" t="inlineStr">
        <is>
          <t>Infrastructure</t>
        </is>
      </c>
      <c r="C49" s="11" t="inlineStr">
        <is>
          <t>Any stream</t>
        </is>
      </c>
      <c r="D49" s="11" t="inlineStr">
        <is>
          <t>Any</t>
        </is>
      </c>
      <c r="E49" s="4" t="inlineStr">
        <is>
          <t>What does a good CI/CD pipeline do, and what belongs in CI as opposed to CD?</t>
        </is>
      </c>
      <c r="F49"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G49" s="36" t="inlineStr">
        <is>
          <t>‘Build once, promote the same artifact’ is the line to listen for. Ask how they roll back a bad release.</t>
        </is>
      </c>
    </row>
    <row r="50" ht="118" customHeight="1">
      <c r="A50" s="11" t="n">
        <v>46</v>
      </c>
      <c r="B50" s="12" t="inlineStr">
        <is>
          <t>Infrastructure</t>
        </is>
      </c>
      <c r="C50" s="11" t="inlineStr">
        <is>
          <t>Any stream</t>
        </is>
      </c>
      <c r="D50" s="11" t="inlineStr">
        <is>
          <t>Any</t>
        </is>
      </c>
      <c r="E50" s="4" t="inlineStr">
        <is>
          <t>Explain blue-green and canary deployments, and when a rolling update is enough.</t>
        </is>
      </c>
      <c r="F50" s="4" t="inlineStr">
        <is>
          <t>Blue-green runs two complete environments and switches traffic at once: rollback is instant, but you pay for double capacity and must handle database compatibility across both. Canary sends a small slice of traffic to the new version, watches error rate and latency, and widens gradually — the best risk control, but it needs good per-version metrics and automated rollback to be worth the complexity. A rolling update replaces instances gradually and is sufficient for most internal services where a brief mixed-version window is acceptable. All three require backward-compatible database changes, because two versions run at once in every case.</t>
        </is>
      </c>
      <c r="G50" s="36" t="inlineStr">
        <is>
          <t>The database compatibility point is the one most candidates miss. Press on it.</t>
        </is>
      </c>
    </row>
    <row r="51" ht="118" customHeight="1">
      <c r="A51" s="11" t="n">
        <v>47</v>
      </c>
      <c r="B51" s="12" t="inlineStr">
        <is>
          <t>Infrastructure</t>
        </is>
      </c>
      <c r="C51" s="11" t="inlineStr">
        <is>
          <t>Any stream</t>
        </is>
      </c>
      <c r="D51" s="11" t="inlineStr">
        <is>
          <t>Any</t>
        </is>
      </c>
      <c r="E51" s="4" t="inlineStr">
        <is>
          <t>What is infrastructure as code and why does it matter beyond convenience?</t>
        </is>
      </c>
      <c r="F51" s="4" t="inlineStr">
        <is>
          <t>Infrastructure is declared in version-controlled files — Terraform, Bicep, ARM — and applied by a tool rather than configured by hand in a portal. It matters because it makes environments reproducible and identical, so ‘works in staging’ means something; it makes changes reviewable and auditable through pull requests; it makes disaster recovery a rerun rather than an archaeology exercise; and it eliminates configuration drift, which is the usual cause of an environment-specific bug. State management and drift detection are the operational disciplines that come with it, along with keeping secrets out of the templates.</t>
        </is>
      </c>
      <c r="G51" s="36" t="inlineStr">
        <is>
          <t>Ask what they do when someone changes a resource in the portal by hand. Drift detection and re-apply is the answer.</t>
        </is>
      </c>
    </row>
    <row r="52" ht="118" customHeight="1">
      <c r="A52" s="11" t="n">
        <v>48</v>
      </c>
      <c r="B52" s="12" t="inlineStr">
        <is>
          <t>Infrastructure</t>
        </is>
      </c>
      <c r="C52" s="11" t="inlineStr">
        <is>
          <t>Any stream</t>
        </is>
      </c>
      <c r="D52" s="11" t="inlineStr">
        <is>
          <t>Any</t>
        </is>
      </c>
      <c r="E52" s="4" t="inlineStr">
        <is>
          <t>What would you monitor on a production service, and what is the difference between monitoring and observability?</t>
        </is>
      </c>
      <c r="F52" s="4" t="inlineStr">
        <is>
          <t>Monitoring answers questions you thought of in advance — the known dashboards and thresholds. Observability is being able to answer questions you did not anticipate, from the telemetry you already emit: structured logs with a correlation ID, metrics, and distributed traces tying a request across services. For a request-serving service the core signals are traffic, error rate, latency at percentiles, and saturation of the resources that bind it. Alert on symptoms users feel — error rate, latency, queue depth — rather than on causes like CPU, and make every alert actionable or it will be ignored.</t>
        </is>
      </c>
      <c r="G52" s="36" t="inlineStr">
        <is>
          <t>Alerting on symptoms rather than CPU is the mature answer. Ask what they would do about an alert that fires every night and nobody acts on.</t>
        </is>
      </c>
    </row>
    <row r="53" ht="118" customHeight="1">
      <c r="A53" s="11" t="n">
        <v>49</v>
      </c>
      <c r="B53" s="12" t="inlineStr">
        <is>
          <t>Infrastructure</t>
        </is>
      </c>
      <c r="C53" s="11" t="inlineStr">
        <is>
          <t>Any stream</t>
        </is>
      </c>
      <c r="D53" s="11" t="inlineStr">
        <is>
          <t>Senior</t>
        </is>
      </c>
      <c r="E53" s="4" t="inlineStr">
        <is>
          <t>Containers and orchestration — what does Kubernetes actually give you over running containers directly?</t>
        </is>
      </c>
      <c r="F53" s="4" t="inlineStr">
        <is>
          <t>A container gives a reproducible, isolated runtime; that alone does not run a service. Orchestration adds scheduling across nodes, self-healing by restarting failed containers and rescheduling off dead nodes, horizontal autoscaling, service discovery and load balancing, rolling deployments with health gates, configuration and secret injection, and declarative desired state that the control plane reconciles. The cost is real operational complexity — networking, storage, RBAC, resource requests and limits — so for a handful of services a managed app platform is often the better trade.</t>
        </is>
      </c>
      <c r="G53" s="36" t="inlineStr">
        <is>
          <t>Ask when they would not use Kubernetes. A candidate who thinks it is always right has not paid for it.</t>
        </is>
      </c>
    </row>
    <row r="54" ht="118" customHeight="1">
      <c r="A54" s="11" t="n">
        <v>50</v>
      </c>
      <c r="B54" s="12" t="inlineStr">
        <is>
          <t>Infrastructure</t>
        </is>
      </c>
      <c r="C54" s="11" t="inlineStr">
        <is>
          <t>Any stream</t>
        </is>
      </c>
      <c r="D54" s="11" t="inlineStr">
        <is>
          <t>Any</t>
        </is>
      </c>
      <c r="E54" s="4" t="inlineStr">
        <is>
          <t>What do RPO and RTO mean, and how do they drive a disaster recovery design?</t>
        </is>
      </c>
      <c r="F54" s="4" t="inlineStr">
        <is>
          <t>RPO is how much data you can afford to lose, measured in time; RTO is how long you can afford to be down. They are business decisions that dictate the architecture and the cost. A low RPO needs synchronous replication or frequent log shipping; a low RTO needs a warm or hot standby rather than restoring from backup. Active-passive with a documented failover is cheaper than active-active, which gives near-zero RTO but demands the application tolerate multi-region writes. The part people skip is testing: an untested failover plan is an assumption, so DR drills and verified backup restores are what make the numbers real.</t>
        </is>
      </c>
      <c r="G54" s="36" t="inlineStr">
        <is>
          <t>Ask when they last tested a restore. Backups nobody has restored are the classic finding.</t>
        </is>
      </c>
    </row>
    <row r="55" ht="118" customHeight="1">
      <c r="A55" s="11" t="n">
        <v>51</v>
      </c>
      <c r="B55" s="12" t="inlineStr">
        <is>
          <t>Infrastructure</t>
        </is>
      </c>
      <c r="C55" s="11" t="inlineStr">
        <is>
          <t>.NET</t>
        </is>
      </c>
      <c r="D55" s="11" t="inlineStr">
        <is>
          <t>Any</t>
        </is>
      </c>
      <c r="E55" s="4" t="inlineStr">
        <is>
          <t>Azure App Service, Azure Functions and AKS — how do you choose?</t>
        </is>
      </c>
      <c r="F55" s="4" t="inlineStr">
        <is>
          <t>App Service for a conventional long-running web application or API: managed platform, easy deployment slots and scaling, least operational overhead. Functions for event-driven, bursty or scheduled work billed per execution — good for glue and background processing, with cold start and execution duration as the constraints, and the isolated worker model for current .NET. AKS when you need fine control over networking, sidecars, mixed workloads or a portable Kubernetes footprint, accepting that you now own cluster operations. Choose the least infrastructure that meets the requirement, and let load pattern and operational appetite decide rather than fashion.</t>
        </is>
      </c>
      <c r="G55" s="36" t="inlineStr">
        <is>
          <t>Ask how they would handle a Function with a cold start problem on a user-facing path.</t>
        </is>
      </c>
    </row>
    <row r="56" ht="118" customHeight="1">
      <c r="A56" s="11" t="n">
        <v>52</v>
      </c>
      <c r="B56" s="12" t="inlineStr">
        <is>
          <t>Infrastructure</t>
        </is>
      </c>
      <c r="C56" s="11" t="inlineStr">
        <is>
          <t>Java</t>
        </is>
      </c>
      <c r="D56" s="11" t="inlineStr">
        <is>
          <t>Any</t>
        </is>
      </c>
      <c r="E56" s="4" t="inlineStr">
        <is>
          <t>What do you configure when containerising a Spring Boot service, and what goes wrong if you do not?</t>
        </is>
      </c>
      <c r="F56" s="4" t="inlineStr">
        <is>
          <t>Set resource requests and limits, and make sure the JVM respects the container limit rather than the host's memory — modern JVMs are container-aware, but an explicit max heap leaving headroom for metaspace and native memory avoids the OOM kill that looks like a crash with no stack trace. Expose liveness and readiness probes from actuator, distinguishing them properly: readiness gates traffic during startup and warm-up, liveness restarts a wedged process, and conflating them causes restart loops under load. Externalise configuration, run as non-root, and use a layered or multi-stage image so rebuilds are small.</t>
        </is>
      </c>
      <c r="G56" s="36" t="inlineStr">
        <is>
          <t>The liveness-versus-readiness distinction is the one that bites in production. Probe it.</t>
        </is>
      </c>
    </row>
    <row r="57" ht="118" customHeight="1">
      <c r="A57" s="11" t="n">
        <v>53</v>
      </c>
      <c r="B57" s="12" t="inlineStr">
        <is>
          <t>Infrastructure</t>
        </is>
      </c>
      <c r="C57" s="11" t="inlineStr">
        <is>
          <t>Support</t>
        </is>
      </c>
      <c r="D57" s="11" t="inlineStr">
        <is>
          <t>Any</t>
        </is>
      </c>
      <c r="E57" s="4" t="inlineStr">
        <is>
          <t>What does a disaster recovery failover exercise actually test, and what have you seen go wrong in one?</t>
        </is>
      </c>
      <c r="F57" s="4" t="inlineStr">
        <is>
          <t>It tests whether the documented plan works with the people and systems you actually have: that the standby is current within RPO, that the switch itself works, that dependencies — DNS, certificates, downstream integrations, batch schedules — follow the switch rather than still pointing at the primary, and that the team can execute under time pressure. The common failures are stale runbooks, credentials or certificates that expired on the standby, a dependency nobody mapped, data that replicated but was not validated, and no rehearsed decision about who declares the failover. The fallback path matters as much as the failover.</t>
        </is>
      </c>
      <c r="G57" s="36" t="inlineStr">
        <is>
          <t>Ask who makes the call to fail over, and how they verify data integrity afterwards rather than just that the site responds.</t>
        </is>
      </c>
    </row>
    <row r="58" ht="118" customHeight="1">
      <c r="A58" s="11" t="n">
        <v>54</v>
      </c>
      <c r="B58" s="12" t="inlineStr">
        <is>
          <t>Architecture</t>
        </is>
      </c>
      <c r="C58" s="11" t="inlineStr">
        <is>
          <t>Any stream</t>
        </is>
      </c>
      <c r="D58" s="11" t="inlineStr">
        <is>
          <t>Any</t>
        </is>
      </c>
      <c r="E58" s="4" t="inlineStr">
        <is>
          <t>Monolith or microservices — how do you decide, and what does microservices cost?</t>
        </is>
      </c>
      <c r="F58"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G58" s="36" t="inlineStr">
        <is>
          <t>The distributed monolith is the phrase worth hearing. Ask how they would decide where the service boundaries go.</t>
        </is>
      </c>
    </row>
    <row r="59" ht="118" customHeight="1">
      <c r="A59" s="11" t="n">
        <v>55</v>
      </c>
      <c r="B59" s="12" t="inlineStr">
        <is>
          <t>Architecture</t>
        </is>
      </c>
      <c r="C59" s="11" t="inlineStr">
        <is>
          <t>Any stream</t>
        </is>
      </c>
      <c r="D59" s="11" t="inlineStr">
        <is>
          <t>Senior</t>
        </is>
      </c>
      <c r="E59" s="4" t="inlineStr">
        <is>
          <t>How do you decide where a service boundary belongs?</t>
        </is>
      </c>
      <c r="F59" s="4" t="inlineStr">
        <is>
          <t>By business capability and the data it owns, not by technical layer — a service per bounded context, with one clear owner of each piece of data, rather than a ‘data service’ and a ‘logic service’. The test is cohesion and coupling: if a typical change touches three services, the boundary is wrong; if two services must always deploy together, they are one service. Watch for chatty call patterns and for a shared database, which both mean the split is artificial. Rate of change and team ownership matter too — parts that change together and are owned by the same people belong together.</t>
        </is>
      </c>
      <c r="G59" s="36" t="inlineStr">
        <is>
          <t>‘If a change touches three services, the boundary is wrong’ is the insight. Ask for an example from their own work.</t>
        </is>
      </c>
    </row>
    <row r="60" ht="118" customHeight="1">
      <c r="A60" s="11" t="n">
        <v>56</v>
      </c>
      <c r="B60" s="12" t="inlineStr">
        <is>
          <t>Architecture</t>
        </is>
      </c>
      <c r="C60" s="11" t="inlineStr">
        <is>
          <t>Any stream</t>
        </is>
      </c>
      <c r="D60" s="11" t="inlineStr">
        <is>
          <t>Any</t>
        </is>
      </c>
      <c r="E60" s="4" t="inlineStr">
        <is>
          <t>Explain layered, hexagonal and clean architecture. What is the common idea?</t>
        </is>
      </c>
      <c r="F60" s="4" t="inlineStr">
        <is>
          <t>All three keep business logic independent of delivery and infrastructure concerns. Layered stacks presentation over application over domain over data, with dependencies pointing down — simple but the domain often ends up depending on the data layer. Hexagonal, or ports and adapters, puts the domain at the centre with ports defining what it needs and adapters implementing them for HTTP, database, or a broker, so the domain has no outward dependency. Clean architecture is the same idea with named rings and an explicit dependency rule: source dependencies point inward only, and crossing outward is done through interfaces defined inside. The payoff is testability and the freedom to change infrastructure; the cost is indirection that is not worth it for a small service.</t>
        </is>
      </c>
      <c r="G60" s="36" t="inlineStr">
        <is>
          <t>Ask where they would put a call to a third-party API, and where the interface for it is declared. Inward-pointing dependencies is the test.</t>
        </is>
      </c>
    </row>
    <row r="61" ht="118" customHeight="1">
      <c r="A61" s="11" t="n">
        <v>57</v>
      </c>
      <c r="B61" s="12" t="inlineStr">
        <is>
          <t>Architecture</t>
        </is>
      </c>
      <c r="C61" s="11" t="inlineStr">
        <is>
          <t>Any stream</t>
        </is>
      </c>
      <c r="D61" s="11" t="inlineStr">
        <is>
          <t>Any</t>
        </is>
      </c>
      <c r="E61" s="4" t="inlineStr">
        <is>
          <t>What are the SOLID principles, and which one do you see violated most?</t>
        </is>
      </c>
      <c r="F61" s="4" t="inlineStr">
        <is>
          <t>Single responsibility — one reason to change; open/closed — extend without modifying; Liskov substitution — a subtype must honour the base type's contract; interface segregation — many small interfaces beat one wide one; dependency inversion — depend on abstractions, and let the high-level policy define the interface the low-level detail implements. In practice single responsibility is violated most, producing service classes that do everything, though the more damaging one is dependency inversion misunderstood as ‘use a DI container’ — injecting a concrete dependency through a container still leaves the policy depending on the detail.</t>
        </is>
      </c>
      <c r="G61" s="36" t="inlineStr">
        <is>
          <t>The DI-container misunderstanding is a good discriminator. Ask who should own the interface, the caller or the implementer.</t>
        </is>
      </c>
    </row>
    <row r="62" ht="118" customHeight="1">
      <c r="A62" s="11" t="n">
        <v>58</v>
      </c>
      <c r="B62" s="12" t="inlineStr">
        <is>
          <t>Architecture</t>
        </is>
      </c>
      <c r="C62" s="11" t="inlineStr">
        <is>
          <t>Any stream</t>
        </is>
      </c>
      <c r="D62" s="11" t="inlineStr">
        <is>
          <t>Senior</t>
        </is>
      </c>
      <c r="E62" s="4" t="inlineStr">
        <is>
          <t>How do you document and justify a significant architectural decision?</t>
        </is>
      </c>
      <c r="F62" s="4" t="inlineStr">
        <is>
          <t>An architecture decision record: the context and forces, the options considered, the decision, and the consequences including what it makes harder — kept in the repository beside the code and never edited after acceptance, only superseded. The value is that six months later the team can see why, and can tell a deliberate trade-off from an accident. Justification should be against the quality attributes that matter to this system — latency, availability, cost, time to market, compliance — stated as concretely as possible, and it should name what was given up. A decision with no downside listed usually means the alternatives were not seriously considered.</t>
        </is>
      </c>
      <c r="G62" s="36" t="inlineStr">
        <is>
          <t>‘What did you give up?’ is the follow-up. An architect who cannot answer it was not really choosing.</t>
        </is>
      </c>
    </row>
    <row r="63" ht="118" customHeight="1">
      <c r="A63" s="11" t="n">
        <v>59</v>
      </c>
      <c r="B63" s="12" t="inlineStr">
        <is>
          <t>Architecture</t>
        </is>
      </c>
      <c r="C63" s="11" t="inlineStr">
        <is>
          <t>Any stream</t>
        </is>
      </c>
      <c r="D63" s="11" t="inlineStr">
        <is>
          <t>Senior</t>
        </is>
      </c>
      <c r="E63" s="4" t="inlineStr">
        <is>
          <t>How would you approach modernising a large legacy application that cannot be stopped?</t>
        </is>
      </c>
      <c r="F63" s="4" t="inlineStr">
        <is>
          <t>Incrementally, with the strangler fig pattern: put a facade in front of the legacy system and route slices of functionality to new implementations one at a time, so the old system shrinks rather than being replaced in a big bang. Sequence by value and risk — start where change is frequent or pain is highest, not with the easiest module. Data is the hard part: decide the owner of each entity, and run a synchronisation or dual-write with reconciliation for as long as both systems live, knowing that period is where the bugs are. Keep the old path working and reversible until the new one has proved itself in production.</t>
        </is>
      </c>
      <c r="G63" s="36" t="inlineStr">
        <is>
          <t>Ask how they keep two data stores consistent during the transition, and how they decide the first slice.</t>
        </is>
      </c>
    </row>
    <row r="64" ht="118" customHeight="1">
      <c r="A64" s="11" t="n">
        <v>60</v>
      </c>
      <c r="B64" s="12" t="inlineStr">
        <is>
          <t>Architecture</t>
        </is>
      </c>
      <c r="C64" s="11" t="inlineStr">
        <is>
          <t>Any stream</t>
        </is>
      </c>
      <c r="D64" s="11" t="inlineStr">
        <is>
          <t>Any</t>
        </is>
      </c>
      <c r="E64" s="4" t="inlineStr">
        <is>
          <t>What non-functional requirements do you insist on establishing before designing, and why do they matter more than the feature list?</t>
        </is>
      </c>
      <c r="F64" s="4" t="inlineStr">
        <is>
          <t>Expected load and its shape, latency targets at percentiles, availability target and what downtime costs, data volume and growth, retention and residency rules, security and compliance obligations, and the recovery objectives. They matter more because they determine the architecture where features mostly determine the code — a system for a thousand users and one for ten million differ structurally, and retrofitting an availability or residency requirement usually means rebuilding. They also need to be numbers rather than adjectives: ‘fast’ and ‘highly available’ cannot be designed against or tested.</t>
        </is>
      </c>
      <c r="G64" s="36" t="inlineStr">
        <is>
          <t>Look for insisting on numbers. Ask what they do when the business cannot give a figure — a good answer proposes one and gets it challenged.</t>
        </is>
      </c>
    </row>
    <row r="65" ht="118" customHeight="1">
      <c r="A65" s="11" t="n">
        <v>61</v>
      </c>
      <c r="B65" s="12" t="inlineStr">
        <is>
          <t>Architecture</t>
        </is>
      </c>
      <c r="C65" s="11" t="inlineStr">
        <is>
          <t>Node / JS</t>
        </is>
      </c>
      <c r="D65" s="11" t="inlineStr">
        <is>
          <t>Any</t>
        </is>
      </c>
      <c r="E65" s="4" t="inlineStr">
        <is>
          <t>What is a micro frontend and what does Module Federation solve?</t>
        </is>
      </c>
      <c r="F65" s="4" t="inlineStr">
        <is>
          <t>A micro frontend splits a browser application into independently developed and deployed pieces, usually aligned to teams or domains, so one team can ship without a coordinated release. Module Federation lets one build consume modules from another at runtime rather than at build time, so a shell can load a remote's code without bundling it, with shared dependencies negotiated so React is not loaded five times. The costs are real: version skew between remotes, a heavier initial load if sharing is misconfigured, harder end-to-end debugging, and the need for a shared design system or the product looks assembled from parts.</t>
        </is>
      </c>
      <c r="G65" s="36" t="inlineStr">
        <is>
          <t>Ask how they keep a shared dependency such as React from being loaded multiple times, and what happens when a remote is down.</t>
        </is>
      </c>
    </row>
    <row r="66" ht="118" customHeight="1">
      <c r="A66" s="11" t="n">
        <v>62</v>
      </c>
      <c r="B66" s="12" t="inlineStr">
        <is>
          <t>Architecture</t>
        </is>
      </c>
      <c r="C66" s="11" t="inlineStr">
        <is>
          <t>Support</t>
        </is>
      </c>
      <c r="D66" s="11" t="inlineStr">
        <is>
          <t>Any</t>
        </is>
      </c>
      <c r="E66" s="4" t="inlineStr">
        <is>
          <t>Describe the architecture of an application you support, from the user's request to the database, and where you have seen it fail.</t>
        </is>
      </c>
      <c r="F66" s="4" t="inlineStr">
        <is>
          <t>A strong answer traces the whole path — client, load balancer, web tier, application tier, the service that owns the logic, its cache, its database, and any downstream integrations — and names the technologies at each hop. Then it identifies real failure points from experience: a connection pool exhausted, a certificate expiry, a dependency timing out, a batch holding locks, a disk or tablespace filling. What distinguishes a good support engineer is knowing which layer a given symptom points to and what evidence would confirm it, rather than reciting a diagram.</t>
        </is>
      </c>
      <c r="G66" s="36" t="inlineStr">
        <is>
          <t>Push for specifics: which component, what symptom, how they proved it. Generic answers here mean they have watched dashboards rather than diagnosed.</t>
        </is>
      </c>
    </row>
  </sheetData>
  <autoFilter ref="A4:G66"/>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8"/>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7" customWidth="1" min="1" max="1"/>
    <col width="23" customWidth="1" min="2" max="2"/>
    <col width="15" customWidth="1" min="3" max="3"/>
    <col width="9" customWidth="1" min="4" max="4"/>
    <col width="22" customWidth="1" min="5" max="5"/>
    <col width="54" customWidth="1" min="6" max="6"/>
    <col width="84" customWidth="1" min="7" max="7"/>
    <col width="11" customWidth="1" min="8" max="8"/>
  </cols>
  <sheetData>
    <row r="1" ht="24" customHeight="1">
      <c r="A1" s="1" t="inlineStr">
        <is>
          <t>Round 1 - the question each candidate starts on</t>
        </is>
      </c>
    </row>
    <row r="2">
      <c r="A2" s="2" t="inlineStr">
        <is>
          <t>The default draw for each of the 22 candidates: one question per topic, with the expected answer. Recycling in the portal moves to the next question in that topic's pool.</t>
        </is>
      </c>
    </row>
    <row r="4" ht="30" customHeight="1">
      <c r="A4" s="35" t="inlineStr">
        <is>
          <t>SL. No</t>
        </is>
      </c>
      <c r="B4" s="35" t="inlineStr">
        <is>
          <t>Candidate</t>
        </is>
      </c>
      <c r="C4" s="35" t="inlineStr">
        <is>
          <t>Stream</t>
        </is>
      </c>
      <c r="D4" s="35" t="inlineStr">
        <is>
          <t>Level</t>
        </is>
      </c>
      <c r="E4" s="35" t="inlineStr">
        <is>
          <t>Topic</t>
        </is>
      </c>
      <c r="F4" s="35" t="inlineStr">
        <is>
          <t>Question</t>
        </is>
      </c>
      <c r="G4" s="35" t="inlineStr">
        <is>
          <t>Expected answer</t>
        </is>
      </c>
      <c r="H4" s="35" t="inlineStr">
        <is>
          <t>Score (1-5)</t>
        </is>
      </c>
    </row>
    <row r="5" ht="108" customHeight="1">
      <c r="A5" s="37" t="n">
        <v>1</v>
      </c>
      <c r="B5" s="38" t="inlineStr">
        <is>
          <t>Jeganagan Murugesan</t>
        </is>
      </c>
      <c r="C5" s="39" t="inlineStr">
        <is>
          <t>.NET</t>
        </is>
      </c>
      <c r="D5" s="37" t="inlineStr">
        <is>
          <t>Senior</t>
        </is>
      </c>
      <c r="E5" s="4" t="inlineStr">
        <is>
          <t>System design patterns</t>
        </is>
      </c>
      <c r="F5" s="4" t="inlineStr">
        <is>
          <t>Explain CQRS. What problem does it solve, and what does it cost you?</t>
        </is>
      </c>
      <c r="G5"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5" s="40" t="n"/>
    </row>
    <row r="6" ht="108" customHeight="1">
      <c r="A6" s="41" t="n"/>
      <c r="B6" s="41" t="n"/>
      <c r="C6" s="41" t="n"/>
      <c r="D6" s="41" t="n"/>
      <c r="E6" s="4" t="inlineStr">
        <is>
          <t>Integration patterns</t>
        </is>
      </c>
      <c r="F6" s="4" t="inlineStr">
        <is>
          <t>Two services must stay in step. Walk me through choosing between a synchronous API call, a message queue, and a shared database.</t>
        </is>
      </c>
      <c r="G6"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6" s="40" t="n"/>
    </row>
    <row r="7" ht="108" customHeight="1">
      <c r="A7" s="41" t="n"/>
      <c r="B7" s="41" t="n"/>
      <c r="C7" s="41" t="n"/>
      <c r="D7" s="41" t="n"/>
      <c r="E7" s="4" t="inlineStr">
        <is>
          <t>Security considerations</t>
        </is>
      </c>
      <c r="F7" s="4" t="inlineStr">
        <is>
          <t>Explain the difference between authentication and authorisation, and where each belongs in a microservices setup.</t>
        </is>
      </c>
      <c r="G7"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7" s="40" t="n"/>
    </row>
    <row r="8" ht="108" customHeight="1">
      <c r="A8" s="41" t="n"/>
      <c r="B8" s="41" t="n"/>
      <c r="C8" s="41" t="n"/>
      <c r="D8" s="41" t="n"/>
      <c r="E8" s="4" t="inlineStr">
        <is>
          <t>Scalability</t>
        </is>
      </c>
      <c r="F8" s="4" t="inlineStr">
        <is>
          <t>Vertical versus horizontal scaling — and what has to be true of your application before horizontal works?</t>
        </is>
      </c>
      <c r="G8"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8" s="40" t="n"/>
    </row>
    <row r="9" ht="108" customHeight="1">
      <c r="A9" s="41" t="n"/>
      <c r="B9" s="41" t="n"/>
      <c r="C9" s="41" t="n"/>
      <c r="D9" s="41" t="n"/>
      <c r="E9" s="4" t="inlineStr">
        <is>
          <t>Multi-tenancy</t>
        </is>
      </c>
      <c r="F9" s="4" t="inlineStr">
        <is>
          <t>Describe the models for multi-tenant data isolation and the trade-offs between them.</t>
        </is>
      </c>
      <c r="G9"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9" s="40" t="n"/>
    </row>
    <row r="10" ht="108" customHeight="1">
      <c r="A10" s="41" t="n"/>
      <c r="B10" s="41" t="n"/>
      <c r="C10" s="41" t="n"/>
      <c r="D10" s="41" t="n"/>
      <c r="E10" s="4" t="inlineStr">
        <is>
          <t>Infrastructure</t>
        </is>
      </c>
      <c r="F10" s="4" t="inlineStr">
        <is>
          <t>What does a good CI/CD pipeline do, and what belongs in CI as opposed to CD?</t>
        </is>
      </c>
      <c r="G10"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0" s="40" t="n"/>
    </row>
    <row r="11" ht="108" customHeight="1">
      <c r="A11" s="42" t="n"/>
      <c r="B11" s="42" t="n"/>
      <c r="C11" s="42" t="n"/>
      <c r="D11" s="42" t="n"/>
      <c r="E11" s="4" t="inlineStr">
        <is>
          <t>Architecture</t>
        </is>
      </c>
      <c r="F11" s="4" t="inlineStr">
        <is>
          <t>Monolith or microservices — how do you decide, and what does microservices cost?</t>
        </is>
      </c>
      <c r="G11"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1" s="40" t="n"/>
    </row>
    <row r="12" ht="108" customHeight="1">
      <c r="A12" s="37" t="n">
        <v>2</v>
      </c>
      <c r="B12" s="38" t="inlineStr">
        <is>
          <t>Dayakar G</t>
        </is>
      </c>
      <c r="C12" s="39" t="inlineStr">
        <is>
          <t>.NET</t>
        </is>
      </c>
      <c r="D12" s="37" t="inlineStr">
        <is>
          <t>Senior</t>
        </is>
      </c>
      <c r="E12" s="4" t="inlineStr">
        <is>
          <t>System design patterns</t>
        </is>
      </c>
      <c r="F12" s="4" t="inlineStr">
        <is>
          <t>Explain CQRS. What problem does it solve, and what does it cost you?</t>
        </is>
      </c>
      <c r="G12"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2" s="40" t="n"/>
    </row>
    <row r="13" ht="108" customHeight="1">
      <c r="A13" s="41" t="n"/>
      <c r="B13" s="41" t="n"/>
      <c r="C13" s="41" t="n"/>
      <c r="D13" s="41" t="n"/>
      <c r="E13" s="4" t="inlineStr">
        <is>
          <t>Integration patterns</t>
        </is>
      </c>
      <c r="F13" s="4" t="inlineStr">
        <is>
          <t>Two services must stay in step. Walk me through choosing between a synchronous API call, a message queue, and a shared database.</t>
        </is>
      </c>
      <c r="G13"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3" s="40" t="n"/>
    </row>
    <row r="14" ht="108" customHeight="1">
      <c r="A14" s="41" t="n"/>
      <c r="B14" s="41" t="n"/>
      <c r="C14" s="41" t="n"/>
      <c r="D14" s="41" t="n"/>
      <c r="E14" s="4" t="inlineStr">
        <is>
          <t>Security considerations</t>
        </is>
      </c>
      <c r="F14" s="4" t="inlineStr">
        <is>
          <t>Explain the difference between authentication and authorisation, and where each belongs in a microservices setup.</t>
        </is>
      </c>
      <c r="G14"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4" s="40" t="n"/>
    </row>
    <row r="15" ht="108" customHeight="1">
      <c r="A15" s="41" t="n"/>
      <c r="B15" s="41" t="n"/>
      <c r="C15" s="41" t="n"/>
      <c r="D15" s="41" t="n"/>
      <c r="E15" s="4" t="inlineStr">
        <is>
          <t>Scalability</t>
        </is>
      </c>
      <c r="F15" s="4" t="inlineStr">
        <is>
          <t>Vertical versus horizontal scaling — and what has to be true of your application before horizontal works?</t>
        </is>
      </c>
      <c r="G15"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5" s="40" t="n"/>
    </row>
    <row r="16" ht="108" customHeight="1">
      <c r="A16" s="41" t="n"/>
      <c r="B16" s="41" t="n"/>
      <c r="C16" s="41" t="n"/>
      <c r="D16" s="41" t="n"/>
      <c r="E16" s="4" t="inlineStr">
        <is>
          <t>Multi-tenancy</t>
        </is>
      </c>
      <c r="F16" s="4" t="inlineStr">
        <is>
          <t>Describe the models for multi-tenant data isolation and the trade-offs between them.</t>
        </is>
      </c>
      <c r="G16"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6" s="40" t="n"/>
    </row>
    <row r="17" ht="108" customHeight="1">
      <c r="A17" s="41" t="n"/>
      <c r="B17" s="41" t="n"/>
      <c r="C17" s="41" t="n"/>
      <c r="D17" s="41" t="n"/>
      <c r="E17" s="4" t="inlineStr">
        <is>
          <t>Infrastructure</t>
        </is>
      </c>
      <c r="F17" s="4" t="inlineStr">
        <is>
          <t>What does a good CI/CD pipeline do, and what belongs in CI as opposed to CD?</t>
        </is>
      </c>
      <c r="G17"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7" s="40" t="n"/>
    </row>
    <row r="18" ht="108" customHeight="1">
      <c r="A18" s="42" t="n"/>
      <c r="B18" s="42" t="n"/>
      <c r="C18" s="42" t="n"/>
      <c r="D18" s="42" t="n"/>
      <c r="E18" s="4" t="inlineStr">
        <is>
          <t>Architecture</t>
        </is>
      </c>
      <c r="F18" s="4" t="inlineStr">
        <is>
          <t>Monolith or microservices — how do you decide, and what does microservices cost?</t>
        </is>
      </c>
      <c r="G18"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8" s="40" t="n"/>
    </row>
    <row r="19" ht="108" customHeight="1">
      <c r="A19" s="37" t="n">
        <v>3</v>
      </c>
      <c r="B19" s="38" t="inlineStr">
        <is>
          <t>Amre Binnaz. M</t>
        </is>
      </c>
      <c r="C19" s="39" t="inlineStr">
        <is>
          <t>.NET</t>
        </is>
      </c>
      <c r="D19" s="37" t="inlineStr">
        <is>
          <t>Senior</t>
        </is>
      </c>
      <c r="E19" s="4" t="inlineStr">
        <is>
          <t>System design patterns</t>
        </is>
      </c>
      <c r="F19" s="4" t="inlineStr">
        <is>
          <t>Explain CQRS. What problem does it solve, and what does it cost you?</t>
        </is>
      </c>
      <c r="G19"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9" s="40" t="n"/>
    </row>
    <row r="20" ht="108" customHeight="1">
      <c r="A20" s="41" t="n"/>
      <c r="B20" s="41" t="n"/>
      <c r="C20" s="41" t="n"/>
      <c r="D20" s="41" t="n"/>
      <c r="E20" s="4" t="inlineStr">
        <is>
          <t>Integration patterns</t>
        </is>
      </c>
      <c r="F20" s="4" t="inlineStr">
        <is>
          <t>Two services must stay in step. Walk me through choosing between a synchronous API call, a message queue, and a shared database.</t>
        </is>
      </c>
      <c r="G20"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20" s="40" t="n"/>
    </row>
    <row r="21" ht="108" customHeight="1">
      <c r="A21" s="41" t="n"/>
      <c r="B21" s="41" t="n"/>
      <c r="C21" s="41" t="n"/>
      <c r="D21" s="41" t="n"/>
      <c r="E21" s="4" t="inlineStr">
        <is>
          <t>Security considerations</t>
        </is>
      </c>
      <c r="F21" s="4" t="inlineStr">
        <is>
          <t>Explain the difference between authentication and authorisation, and where each belongs in a microservices setup.</t>
        </is>
      </c>
      <c r="G21"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21" s="40" t="n"/>
    </row>
    <row r="22" ht="108" customHeight="1">
      <c r="A22" s="41" t="n"/>
      <c r="B22" s="41" t="n"/>
      <c r="C22" s="41" t="n"/>
      <c r="D22" s="41" t="n"/>
      <c r="E22" s="4" t="inlineStr">
        <is>
          <t>Scalability</t>
        </is>
      </c>
      <c r="F22" s="4" t="inlineStr">
        <is>
          <t>Vertical versus horizontal scaling — and what has to be true of your application before horizontal works?</t>
        </is>
      </c>
      <c r="G22"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22" s="40" t="n"/>
    </row>
    <row r="23" ht="108" customHeight="1">
      <c r="A23" s="41" t="n"/>
      <c r="B23" s="41" t="n"/>
      <c r="C23" s="41" t="n"/>
      <c r="D23" s="41" t="n"/>
      <c r="E23" s="4" t="inlineStr">
        <is>
          <t>Multi-tenancy</t>
        </is>
      </c>
      <c r="F23" s="4" t="inlineStr">
        <is>
          <t>Describe the models for multi-tenant data isolation and the trade-offs between them.</t>
        </is>
      </c>
      <c r="G23"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23" s="40" t="n"/>
    </row>
    <row r="24" ht="108" customHeight="1">
      <c r="A24" s="41" t="n"/>
      <c r="B24" s="41" t="n"/>
      <c r="C24" s="41" t="n"/>
      <c r="D24" s="41" t="n"/>
      <c r="E24" s="4" t="inlineStr">
        <is>
          <t>Infrastructure</t>
        </is>
      </c>
      <c r="F24" s="4" t="inlineStr">
        <is>
          <t>What does a good CI/CD pipeline do, and what belongs in CI as opposed to CD?</t>
        </is>
      </c>
      <c r="G24"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24" s="40" t="n"/>
    </row>
    <row r="25" ht="108" customHeight="1">
      <c r="A25" s="42" t="n"/>
      <c r="B25" s="42" t="n"/>
      <c r="C25" s="42" t="n"/>
      <c r="D25" s="42" t="n"/>
      <c r="E25" s="4" t="inlineStr">
        <is>
          <t>Architecture</t>
        </is>
      </c>
      <c r="F25" s="4" t="inlineStr">
        <is>
          <t>Monolith or microservices — how do you decide, and what does microservices cost?</t>
        </is>
      </c>
      <c r="G25"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25" s="40" t="n"/>
    </row>
    <row r="26" ht="108" customHeight="1">
      <c r="A26" s="37" t="n">
        <v>4</v>
      </c>
      <c r="B26" s="38" t="inlineStr">
        <is>
          <t>Adarsh Swaminathan</t>
        </is>
      </c>
      <c r="C26" s="39" t="inlineStr">
        <is>
          <t>.NET</t>
        </is>
      </c>
      <c r="D26" s="37" t="inlineStr">
        <is>
          <t>Senior</t>
        </is>
      </c>
      <c r="E26" s="4" t="inlineStr">
        <is>
          <t>System design patterns</t>
        </is>
      </c>
      <c r="F26" s="4" t="inlineStr">
        <is>
          <t>Explain CQRS. What problem does it solve, and what does it cost you?</t>
        </is>
      </c>
      <c r="G26"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26" s="40" t="n"/>
    </row>
    <row r="27" ht="108" customHeight="1">
      <c r="A27" s="41" t="n"/>
      <c r="B27" s="41" t="n"/>
      <c r="C27" s="41" t="n"/>
      <c r="D27" s="41" t="n"/>
      <c r="E27" s="4" t="inlineStr">
        <is>
          <t>Integration patterns</t>
        </is>
      </c>
      <c r="F27" s="4" t="inlineStr">
        <is>
          <t>Two services must stay in step. Walk me through choosing between a synchronous API call, a message queue, and a shared database.</t>
        </is>
      </c>
      <c r="G27"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27" s="40" t="n"/>
    </row>
    <row r="28" ht="108" customHeight="1">
      <c r="A28" s="41" t="n"/>
      <c r="B28" s="41" t="n"/>
      <c r="C28" s="41" t="n"/>
      <c r="D28" s="41" t="n"/>
      <c r="E28" s="4" t="inlineStr">
        <is>
          <t>Security considerations</t>
        </is>
      </c>
      <c r="F28" s="4" t="inlineStr">
        <is>
          <t>Explain the difference between authentication and authorisation, and where each belongs in a microservices setup.</t>
        </is>
      </c>
      <c r="G28"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28" s="40" t="n"/>
    </row>
    <row r="29" ht="108" customHeight="1">
      <c r="A29" s="41" t="n"/>
      <c r="B29" s="41" t="n"/>
      <c r="C29" s="41" t="n"/>
      <c r="D29" s="41" t="n"/>
      <c r="E29" s="4" t="inlineStr">
        <is>
          <t>Scalability</t>
        </is>
      </c>
      <c r="F29" s="4" t="inlineStr">
        <is>
          <t>Vertical versus horizontal scaling — and what has to be true of your application before horizontal works?</t>
        </is>
      </c>
      <c r="G29"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29" s="40" t="n"/>
    </row>
    <row r="30" ht="108" customHeight="1">
      <c r="A30" s="41" t="n"/>
      <c r="B30" s="41" t="n"/>
      <c r="C30" s="41" t="n"/>
      <c r="D30" s="41" t="n"/>
      <c r="E30" s="4" t="inlineStr">
        <is>
          <t>Multi-tenancy</t>
        </is>
      </c>
      <c r="F30" s="4" t="inlineStr">
        <is>
          <t>Describe the models for multi-tenant data isolation and the trade-offs between them.</t>
        </is>
      </c>
      <c r="G30"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30" s="40" t="n"/>
    </row>
    <row r="31" ht="108" customHeight="1">
      <c r="A31" s="41" t="n"/>
      <c r="B31" s="41" t="n"/>
      <c r="C31" s="41" t="n"/>
      <c r="D31" s="41" t="n"/>
      <c r="E31" s="4" t="inlineStr">
        <is>
          <t>Infrastructure</t>
        </is>
      </c>
      <c r="F31" s="4" t="inlineStr">
        <is>
          <t>What does a good CI/CD pipeline do, and what belongs in CI as opposed to CD?</t>
        </is>
      </c>
      <c r="G31"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31" s="40" t="n"/>
    </row>
    <row r="32" ht="108" customHeight="1">
      <c r="A32" s="42" t="n"/>
      <c r="B32" s="42" t="n"/>
      <c r="C32" s="42" t="n"/>
      <c r="D32" s="42" t="n"/>
      <c r="E32" s="4" t="inlineStr">
        <is>
          <t>Architecture</t>
        </is>
      </c>
      <c r="F32" s="4" t="inlineStr">
        <is>
          <t>Monolith or microservices — how do you decide, and what does microservices cost?</t>
        </is>
      </c>
      <c r="G32"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32" s="40" t="n"/>
    </row>
    <row r="33" ht="108" customHeight="1">
      <c r="A33" s="37" t="n">
        <v>5</v>
      </c>
      <c r="B33" s="38" t="inlineStr">
        <is>
          <t>Sivakumar Varatharaj</t>
        </is>
      </c>
      <c r="C33" s="39" t="inlineStr">
        <is>
          <t>.NET</t>
        </is>
      </c>
      <c r="D33" s="37" t="inlineStr">
        <is>
          <t>Senior</t>
        </is>
      </c>
      <c r="E33" s="4" t="inlineStr">
        <is>
          <t>System design patterns</t>
        </is>
      </c>
      <c r="F33" s="4" t="inlineStr">
        <is>
          <t>Explain CQRS. What problem does it solve, and what does it cost you?</t>
        </is>
      </c>
      <c r="G33"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33" s="40" t="n"/>
    </row>
    <row r="34" ht="108" customHeight="1">
      <c r="A34" s="41" t="n"/>
      <c r="B34" s="41" t="n"/>
      <c r="C34" s="41" t="n"/>
      <c r="D34" s="41" t="n"/>
      <c r="E34" s="4" t="inlineStr">
        <is>
          <t>Integration patterns</t>
        </is>
      </c>
      <c r="F34" s="4" t="inlineStr">
        <is>
          <t>Two services must stay in step. Walk me through choosing between a synchronous API call, a message queue, and a shared database.</t>
        </is>
      </c>
      <c r="G34"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34" s="40" t="n"/>
    </row>
    <row r="35" ht="108" customHeight="1">
      <c r="A35" s="41" t="n"/>
      <c r="B35" s="41" t="n"/>
      <c r="C35" s="41" t="n"/>
      <c r="D35" s="41" t="n"/>
      <c r="E35" s="4" t="inlineStr">
        <is>
          <t>Security considerations</t>
        </is>
      </c>
      <c r="F35" s="4" t="inlineStr">
        <is>
          <t>Explain the difference between authentication and authorisation, and where each belongs in a microservices setup.</t>
        </is>
      </c>
      <c r="G35"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35" s="40" t="n"/>
    </row>
    <row r="36" ht="108" customHeight="1">
      <c r="A36" s="41" t="n"/>
      <c r="B36" s="41" t="n"/>
      <c r="C36" s="41" t="n"/>
      <c r="D36" s="41" t="n"/>
      <c r="E36" s="4" t="inlineStr">
        <is>
          <t>Scalability</t>
        </is>
      </c>
      <c r="F36" s="4" t="inlineStr">
        <is>
          <t>Vertical versus horizontal scaling — and what has to be true of your application before horizontal works?</t>
        </is>
      </c>
      <c r="G36"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36" s="40" t="n"/>
    </row>
    <row r="37" ht="108" customHeight="1">
      <c r="A37" s="41" t="n"/>
      <c r="B37" s="41" t="n"/>
      <c r="C37" s="41" t="n"/>
      <c r="D37" s="41" t="n"/>
      <c r="E37" s="4" t="inlineStr">
        <is>
          <t>Multi-tenancy</t>
        </is>
      </c>
      <c r="F37" s="4" t="inlineStr">
        <is>
          <t>Describe the models for multi-tenant data isolation and the trade-offs between them.</t>
        </is>
      </c>
      <c r="G37"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37" s="40" t="n"/>
    </row>
    <row r="38" ht="108" customHeight="1">
      <c r="A38" s="41" t="n"/>
      <c r="B38" s="41" t="n"/>
      <c r="C38" s="41" t="n"/>
      <c r="D38" s="41" t="n"/>
      <c r="E38" s="4" t="inlineStr">
        <is>
          <t>Infrastructure</t>
        </is>
      </c>
      <c r="F38" s="4" t="inlineStr">
        <is>
          <t>What does a good CI/CD pipeline do, and what belongs in CI as opposed to CD?</t>
        </is>
      </c>
      <c r="G38"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38" s="40" t="n"/>
    </row>
    <row r="39" ht="108" customHeight="1">
      <c r="A39" s="42" t="n"/>
      <c r="B39" s="42" t="n"/>
      <c r="C39" s="42" t="n"/>
      <c r="D39" s="42" t="n"/>
      <c r="E39" s="4" t="inlineStr">
        <is>
          <t>Architecture</t>
        </is>
      </c>
      <c r="F39" s="4" t="inlineStr">
        <is>
          <t>Monolith or microservices — how do you decide, and what does microservices cost?</t>
        </is>
      </c>
      <c r="G39"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39" s="40" t="n"/>
    </row>
    <row r="40" ht="108" customHeight="1">
      <c r="A40" s="37" t="n">
        <v>6</v>
      </c>
      <c r="B40" s="38" t="inlineStr">
        <is>
          <t>Sathya K S</t>
        </is>
      </c>
      <c r="C40" s="39" t="inlineStr">
        <is>
          <t>Java</t>
        </is>
      </c>
      <c r="D40" s="37" t="inlineStr">
        <is>
          <t>Senior</t>
        </is>
      </c>
      <c r="E40" s="4" t="inlineStr">
        <is>
          <t>System design patterns</t>
        </is>
      </c>
      <c r="F40" s="4" t="inlineStr">
        <is>
          <t>Explain CQRS. What problem does it solve, and what does it cost you?</t>
        </is>
      </c>
      <c r="G40"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40" s="40" t="n"/>
    </row>
    <row r="41" ht="108" customHeight="1">
      <c r="A41" s="41" t="n"/>
      <c r="B41" s="41" t="n"/>
      <c r="C41" s="41" t="n"/>
      <c r="D41" s="41" t="n"/>
      <c r="E41" s="4" t="inlineStr">
        <is>
          <t>Integration patterns</t>
        </is>
      </c>
      <c r="F41" s="4" t="inlineStr">
        <is>
          <t>Two services must stay in step. Walk me through choosing between a synchronous API call, a message queue, and a shared database.</t>
        </is>
      </c>
      <c r="G41"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41" s="40" t="n"/>
    </row>
    <row r="42" ht="108" customHeight="1">
      <c r="A42" s="41" t="n"/>
      <c r="B42" s="41" t="n"/>
      <c r="C42" s="41" t="n"/>
      <c r="D42" s="41" t="n"/>
      <c r="E42" s="4" t="inlineStr">
        <is>
          <t>Security considerations</t>
        </is>
      </c>
      <c r="F42" s="4" t="inlineStr">
        <is>
          <t>Explain the difference between authentication and authorisation, and where each belongs in a microservices setup.</t>
        </is>
      </c>
      <c r="G42"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42" s="40" t="n"/>
    </row>
    <row r="43" ht="108" customHeight="1">
      <c r="A43" s="41" t="n"/>
      <c r="B43" s="41" t="n"/>
      <c r="C43" s="41" t="n"/>
      <c r="D43" s="41" t="n"/>
      <c r="E43" s="4" t="inlineStr">
        <is>
          <t>Scalability</t>
        </is>
      </c>
      <c r="F43" s="4" t="inlineStr">
        <is>
          <t>Vertical versus horizontal scaling — and what has to be true of your application before horizontal works?</t>
        </is>
      </c>
      <c r="G43"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43" s="40" t="n"/>
    </row>
    <row r="44" ht="108" customHeight="1">
      <c r="A44" s="41" t="n"/>
      <c r="B44" s="41" t="n"/>
      <c r="C44" s="41" t="n"/>
      <c r="D44" s="41" t="n"/>
      <c r="E44" s="4" t="inlineStr">
        <is>
          <t>Multi-tenancy</t>
        </is>
      </c>
      <c r="F44" s="4" t="inlineStr">
        <is>
          <t>Describe the models for multi-tenant data isolation and the trade-offs between them.</t>
        </is>
      </c>
      <c r="G44"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44" s="40" t="n"/>
    </row>
    <row r="45" ht="108" customHeight="1">
      <c r="A45" s="41" t="n"/>
      <c r="B45" s="41" t="n"/>
      <c r="C45" s="41" t="n"/>
      <c r="D45" s="41" t="n"/>
      <c r="E45" s="4" t="inlineStr">
        <is>
          <t>Infrastructure</t>
        </is>
      </c>
      <c r="F45" s="4" t="inlineStr">
        <is>
          <t>What does a good CI/CD pipeline do, and what belongs in CI as opposed to CD?</t>
        </is>
      </c>
      <c r="G45"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45" s="40" t="n"/>
    </row>
    <row r="46" ht="108" customHeight="1">
      <c r="A46" s="42" t="n"/>
      <c r="B46" s="42" t="n"/>
      <c r="C46" s="42" t="n"/>
      <c r="D46" s="42" t="n"/>
      <c r="E46" s="4" t="inlineStr">
        <is>
          <t>Architecture</t>
        </is>
      </c>
      <c r="F46" s="4" t="inlineStr">
        <is>
          <t>Monolith or microservices — how do you decide, and what does microservices cost?</t>
        </is>
      </c>
      <c r="G46"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46" s="40" t="n"/>
    </row>
    <row r="47" ht="108" customHeight="1">
      <c r="A47" s="37" t="n">
        <v>7</v>
      </c>
      <c r="B47" s="38" t="inlineStr">
        <is>
          <t>Navin Kumar</t>
        </is>
      </c>
      <c r="C47" s="39" t="inlineStr">
        <is>
          <t>Node / JS</t>
        </is>
      </c>
      <c r="D47" s="37" t="inlineStr">
        <is>
          <t>Senior</t>
        </is>
      </c>
      <c r="E47" s="4" t="inlineStr">
        <is>
          <t>System design patterns</t>
        </is>
      </c>
      <c r="F47" s="4" t="inlineStr">
        <is>
          <t>Explain CQRS. What problem does it solve, and what does it cost you?</t>
        </is>
      </c>
      <c r="G47"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47" s="40" t="n"/>
    </row>
    <row r="48" ht="108" customHeight="1">
      <c r="A48" s="41" t="n"/>
      <c r="B48" s="41" t="n"/>
      <c r="C48" s="41" t="n"/>
      <c r="D48" s="41" t="n"/>
      <c r="E48" s="4" t="inlineStr">
        <is>
          <t>Integration patterns</t>
        </is>
      </c>
      <c r="F48" s="4" t="inlineStr">
        <is>
          <t>Two services must stay in step. Walk me through choosing between a synchronous API call, a message queue, and a shared database.</t>
        </is>
      </c>
      <c r="G48"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48" s="40" t="n"/>
    </row>
    <row r="49" ht="108" customHeight="1">
      <c r="A49" s="41" t="n"/>
      <c r="B49" s="41" t="n"/>
      <c r="C49" s="41" t="n"/>
      <c r="D49" s="41" t="n"/>
      <c r="E49" s="4" t="inlineStr">
        <is>
          <t>Security considerations</t>
        </is>
      </c>
      <c r="F49" s="4" t="inlineStr">
        <is>
          <t>Explain the difference between authentication and authorisation, and where each belongs in a microservices setup.</t>
        </is>
      </c>
      <c r="G49"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49" s="40" t="n"/>
    </row>
    <row r="50" ht="108" customHeight="1">
      <c r="A50" s="41" t="n"/>
      <c r="B50" s="41" t="n"/>
      <c r="C50" s="41" t="n"/>
      <c r="D50" s="41" t="n"/>
      <c r="E50" s="4" t="inlineStr">
        <is>
          <t>Scalability</t>
        </is>
      </c>
      <c r="F50" s="4" t="inlineStr">
        <is>
          <t>Vertical versus horizontal scaling — and what has to be true of your application before horizontal works?</t>
        </is>
      </c>
      <c r="G50"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50" s="40" t="n"/>
    </row>
    <row r="51" ht="108" customHeight="1">
      <c r="A51" s="41" t="n"/>
      <c r="B51" s="41" t="n"/>
      <c r="C51" s="41" t="n"/>
      <c r="D51" s="41" t="n"/>
      <c r="E51" s="4" t="inlineStr">
        <is>
          <t>Multi-tenancy</t>
        </is>
      </c>
      <c r="F51" s="4" t="inlineStr">
        <is>
          <t>Describe the models for multi-tenant data isolation and the trade-offs between them.</t>
        </is>
      </c>
      <c r="G51"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51" s="40" t="n"/>
    </row>
    <row r="52" ht="108" customHeight="1">
      <c r="A52" s="41" t="n"/>
      <c r="B52" s="41" t="n"/>
      <c r="C52" s="41" t="n"/>
      <c r="D52" s="41" t="n"/>
      <c r="E52" s="4" t="inlineStr">
        <is>
          <t>Infrastructure</t>
        </is>
      </c>
      <c r="F52" s="4" t="inlineStr">
        <is>
          <t>What does a good CI/CD pipeline do, and what belongs in CI as opposed to CD?</t>
        </is>
      </c>
      <c r="G52"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52" s="40" t="n"/>
    </row>
    <row r="53" ht="108" customHeight="1">
      <c r="A53" s="42" t="n"/>
      <c r="B53" s="42" t="n"/>
      <c r="C53" s="42" t="n"/>
      <c r="D53" s="42" t="n"/>
      <c r="E53" s="4" t="inlineStr">
        <is>
          <t>Architecture</t>
        </is>
      </c>
      <c r="F53" s="4" t="inlineStr">
        <is>
          <t>Monolith or microservices — how do you decide, and what does microservices cost?</t>
        </is>
      </c>
      <c r="G53"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53" s="40" t="n"/>
    </row>
    <row r="54" ht="108" customHeight="1">
      <c r="A54" s="37" t="n">
        <v>8</v>
      </c>
      <c r="B54" s="38" t="inlineStr">
        <is>
          <t>Boopathi Molakgounder</t>
        </is>
      </c>
      <c r="C54" s="39" t="inlineStr">
        <is>
          <t>.NET</t>
        </is>
      </c>
      <c r="D54" s="37" t="inlineStr">
        <is>
          <t>Senior</t>
        </is>
      </c>
      <c r="E54" s="4" t="inlineStr">
        <is>
          <t>System design patterns</t>
        </is>
      </c>
      <c r="F54" s="4" t="inlineStr">
        <is>
          <t>Explain CQRS. What problem does it solve, and what does it cost you?</t>
        </is>
      </c>
      <c r="G54"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54" s="40" t="n"/>
    </row>
    <row r="55" ht="108" customHeight="1">
      <c r="A55" s="41" t="n"/>
      <c r="B55" s="41" t="n"/>
      <c r="C55" s="41" t="n"/>
      <c r="D55" s="41" t="n"/>
      <c r="E55" s="4" t="inlineStr">
        <is>
          <t>Integration patterns</t>
        </is>
      </c>
      <c r="F55" s="4" t="inlineStr">
        <is>
          <t>Two services must stay in step. Walk me through choosing between a synchronous API call, a message queue, and a shared database.</t>
        </is>
      </c>
      <c r="G55"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55" s="40" t="n"/>
    </row>
    <row r="56" ht="108" customHeight="1">
      <c r="A56" s="41" t="n"/>
      <c r="B56" s="41" t="n"/>
      <c r="C56" s="41" t="n"/>
      <c r="D56" s="41" t="n"/>
      <c r="E56" s="4" t="inlineStr">
        <is>
          <t>Security considerations</t>
        </is>
      </c>
      <c r="F56" s="4" t="inlineStr">
        <is>
          <t>Explain the difference between authentication and authorisation, and where each belongs in a microservices setup.</t>
        </is>
      </c>
      <c r="G56"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56" s="40" t="n"/>
    </row>
    <row r="57" ht="108" customHeight="1">
      <c r="A57" s="41" t="n"/>
      <c r="B57" s="41" t="n"/>
      <c r="C57" s="41" t="n"/>
      <c r="D57" s="41" t="n"/>
      <c r="E57" s="4" t="inlineStr">
        <is>
          <t>Scalability</t>
        </is>
      </c>
      <c r="F57" s="4" t="inlineStr">
        <is>
          <t>Vertical versus horizontal scaling — and what has to be true of your application before horizontal works?</t>
        </is>
      </c>
      <c r="G57"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57" s="40" t="n"/>
    </row>
    <row r="58" ht="108" customHeight="1">
      <c r="A58" s="41" t="n"/>
      <c r="B58" s="41" t="n"/>
      <c r="C58" s="41" t="n"/>
      <c r="D58" s="41" t="n"/>
      <c r="E58" s="4" t="inlineStr">
        <is>
          <t>Multi-tenancy</t>
        </is>
      </c>
      <c r="F58" s="4" t="inlineStr">
        <is>
          <t>Describe the models for multi-tenant data isolation and the trade-offs between them.</t>
        </is>
      </c>
      <c r="G58"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58" s="40" t="n"/>
    </row>
    <row r="59" ht="108" customHeight="1">
      <c r="A59" s="41" t="n"/>
      <c r="B59" s="41" t="n"/>
      <c r="C59" s="41" t="n"/>
      <c r="D59" s="41" t="n"/>
      <c r="E59" s="4" t="inlineStr">
        <is>
          <t>Infrastructure</t>
        </is>
      </c>
      <c r="F59" s="4" t="inlineStr">
        <is>
          <t>What does a good CI/CD pipeline do, and what belongs in CI as opposed to CD?</t>
        </is>
      </c>
      <c r="G59"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59" s="40" t="n"/>
    </row>
    <row r="60" ht="108" customHeight="1">
      <c r="A60" s="42" t="n"/>
      <c r="B60" s="42" t="n"/>
      <c r="C60" s="42" t="n"/>
      <c r="D60" s="42" t="n"/>
      <c r="E60" s="4" t="inlineStr">
        <is>
          <t>Architecture</t>
        </is>
      </c>
      <c r="F60" s="4" t="inlineStr">
        <is>
          <t>Monolith or microservices — how do you decide, and what does microservices cost?</t>
        </is>
      </c>
      <c r="G60"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60" s="40" t="n"/>
    </row>
    <row r="61" ht="108" customHeight="1">
      <c r="A61" s="37" t="n">
        <v>9</v>
      </c>
      <c r="B61" s="38" t="inlineStr">
        <is>
          <t>Ravikumar Gopal</t>
        </is>
      </c>
      <c r="C61" s="39" t="inlineStr">
        <is>
          <t>Java</t>
        </is>
      </c>
      <c r="D61" s="37" t="inlineStr">
        <is>
          <t>Senior</t>
        </is>
      </c>
      <c r="E61" s="4" t="inlineStr">
        <is>
          <t>System design patterns</t>
        </is>
      </c>
      <c r="F61" s="4" t="inlineStr">
        <is>
          <t>Explain CQRS. What problem does it solve, and what does it cost you?</t>
        </is>
      </c>
      <c r="G61"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61" s="40" t="n"/>
    </row>
    <row r="62" ht="108" customHeight="1">
      <c r="A62" s="41" t="n"/>
      <c r="B62" s="41" t="n"/>
      <c r="C62" s="41" t="n"/>
      <c r="D62" s="41" t="n"/>
      <c r="E62" s="4" t="inlineStr">
        <is>
          <t>Integration patterns</t>
        </is>
      </c>
      <c r="F62" s="4" t="inlineStr">
        <is>
          <t>Two services must stay in step. Walk me through choosing between a synchronous API call, a message queue, and a shared database.</t>
        </is>
      </c>
      <c r="G62"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62" s="40" t="n"/>
    </row>
    <row r="63" ht="108" customHeight="1">
      <c r="A63" s="41" t="n"/>
      <c r="B63" s="41" t="n"/>
      <c r="C63" s="41" t="n"/>
      <c r="D63" s="41" t="n"/>
      <c r="E63" s="4" t="inlineStr">
        <is>
          <t>Security considerations</t>
        </is>
      </c>
      <c r="F63" s="4" t="inlineStr">
        <is>
          <t>Explain the difference between authentication and authorisation, and where each belongs in a microservices setup.</t>
        </is>
      </c>
      <c r="G63"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63" s="40" t="n"/>
    </row>
    <row r="64" ht="108" customHeight="1">
      <c r="A64" s="41" t="n"/>
      <c r="B64" s="41" t="n"/>
      <c r="C64" s="41" t="n"/>
      <c r="D64" s="41" t="n"/>
      <c r="E64" s="4" t="inlineStr">
        <is>
          <t>Scalability</t>
        </is>
      </c>
      <c r="F64" s="4" t="inlineStr">
        <is>
          <t>Vertical versus horizontal scaling — and what has to be true of your application before horizontal works?</t>
        </is>
      </c>
      <c r="G64"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64" s="40" t="n"/>
    </row>
    <row r="65" ht="108" customHeight="1">
      <c r="A65" s="41" t="n"/>
      <c r="B65" s="41" t="n"/>
      <c r="C65" s="41" t="n"/>
      <c r="D65" s="41" t="n"/>
      <c r="E65" s="4" t="inlineStr">
        <is>
          <t>Multi-tenancy</t>
        </is>
      </c>
      <c r="F65" s="4" t="inlineStr">
        <is>
          <t>Describe the models for multi-tenant data isolation and the trade-offs between them.</t>
        </is>
      </c>
      <c r="G65"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65" s="40" t="n"/>
    </row>
    <row r="66" ht="108" customHeight="1">
      <c r="A66" s="41" t="n"/>
      <c r="B66" s="41" t="n"/>
      <c r="C66" s="41" t="n"/>
      <c r="D66" s="41" t="n"/>
      <c r="E66" s="4" t="inlineStr">
        <is>
          <t>Infrastructure</t>
        </is>
      </c>
      <c r="F66" s="4" t="inlineStr">
        <is>
          <t>What does a good CI/CD pipeline do, and what belongs in CI as opposed to CD?</t>
        </is>
      </c>
      <c r="G66"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66" s="40" t="n"/>
    </row>
    <row r="67" ht="108" customHeight="1">
      <c r="A67" s="42" t="n"/>
      <c r="B67" s="42" t="n"/>
      <c r="C67" s="42" t="n"/>
      <c r="D67" s="42" t="n"/>
      <c r="E67" s="4" t="inlineStr">
        <is>
          <t>Architecture</t>
        </is>
      </c>
      <c r="F67" s="4" t="inlineStr">
        <is>
          <t>Monolith or microservices — how do you decide, and what does microservices cost?</t>
        </is>
      </c>
      <c r="G67"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67" s="40" t="n"/>
    </row>
    <row r="68" ht="108" customHeight="1">
      <c r="A68" s="37" t="n">
        <v>10</v>
      </c>
      <c r="B68" s="38" t="inlineStr">
        <is>
          <t>Vaisakh P</t>
        </is>
      </c>
      <c r="C68" s="39" t="inlineStr">
        <is>
          <t>Java</t>
        </is>
      </c>
      <c r="D68" s="37" t="inlineStr">
        <is>
          <t>Senior</t>
        </is>
      </c>
      <c r="E68" s="4" t="inlineStr">
        <is>
          <t>System design patterns</t>
        </is>
      </c>
      <c r="F68" s="4" t="inlineStr">
        <is>
          <t>Explain CQRS. What problem does it solve, and what does it cost you?</t>
        </is>
      </c>
      <c r="G68"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68" s="40" t="n"/>
    </row>
    <row r="69" ht="108" customHeight="1">
      <c r="A69" s="41" t="n"/>
      <c r="B69" s="41" t="n"/>
      <c r="C69" s="41" t="n"/>
      <c r="D69" s="41" t="n"/>
      <c r="E69" s="4" t="inlineStr">
        <is>
          <t>Integration patterns</t>
        </is>
      </c>
      <c r="F69" s="4" t="inlineStr">
        <is>
          <t>Two services must stay in step. Walk me through choosing between a synchronous API call, a message queue, and a shared database.</t>
        </is>
      </c>
      <c r="G69"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69" s="40" t="n"/>
    </row>
    <row r="70" ht="108" customHeight="1">
      <c r="A70" s="41" t="n"/>
      <c r="B70" s="41" t="n"/>
      <c r="C70" s="41" t="n"/>
      <c r="D70" s="41" t="n"/>
      <c r="E70" s="4" t="inlineStr">
        <is>
          <t>Security considerations</t>
        </is>
      </c>
      <c r="F70" s="4" t="inlineStr">
        <is>
          <t>Explain the difference between authentication and authorisation, and where each belongs in a microservices setup.</t>
        </is>
      </c>
      <c r="G70"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70" s="40" t="n"/>
    </row>
    <row r="71" ht="108" customHeight="1">
      <c r="A71" s="41" t="n"/>
      <c r="B71" s="41" t="n"/>
      <c r="C71" s="41" t="n"/>
      <c r="D71" s="41" t="n"/>
      <c r="E71" s="4" t="inlineStr">
        <is>
          <t>Scalability</t>
        </is>
      </c>
      <c r="F71" s="4" t="inlineStr">
        <is>
          <t>Vertical versus horizontal scaling — and what has to be true of your application before horizontal works?</t>
        </is>
      </c>
      <c r="G71"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71" s="40" t="n"/>
    </row>
    <row r="72" ht="108" customHeight="1">
      <c r="A72" s="41" t="n"/>
      <c r="B72" s="41" t="n"/>
      <c r="C72" s="41" t="n"/>
      <c r="D72" s="41" t="n"/>
      <c r="E72" s="4" t="inlineStr">
        <is>
          <t>Multi-tenancy</t>
        </is>
      </c>
      <c r="F72" s="4" t="inlineStr">
        <is>
          <t>Describe the models for multi-tenant data isolation and the trade-offs between them.</t>
        </is>
      </c>
      <c r="G72"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72" s="40" t="n"/>
    </row>
    <row r="73" ht="108" customHeight="1">
      <c r="A73" s="41" t="n"/>
      <c r="B73" s="41" t="n"/>
      <c r="C73" s="41" t="n"/>
      <c r="D73" s="41" t="n"/>
      <c r="E73" s="4" t="inlineStr">
        <is>
          <t>Infrastructure</t>
        </is>
      </c>
      <c r="F73" s="4" t="inlineStr">
        <is>
          <t>What does a good CI/CD pipeline do, and what belongs in CI as opposed to CD?</t>
        </is>
      </c>
      <c r="G73"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73" s="40" t="n"/>
    </row>
    <row r="74" ht="108" customHeight="1">
      <c r="A74" s="42" t="n"/>
      <c r="B74" s="42" t="n"/>
      <c r="C74" s="42" t="n"/>
      <c r="D74" s="42" t="n"/>
      <c r="E74" s="4" t="inlineStr">
        <is>
          <t>Architecture</t>
        </is>
      </c>
      <c r="F74" s="4" t="inlineStr">
        <is>
          <t>Monolith or microservices — how do you decide, and what does microservices cost?</t>
        </is>
      </c>
      <c r="G74"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74" s="40" t="n"/>
    </row>
    <row r="75" ht="108" customHeight="1">
      <c r="A75" s="37" t="n">
        <v>11</v>
      </c>
      <c r="B75" s="38" t="inlineStr">
        <is>
          <t>Sandhosh Kumar</t>
        </is>
      </c>
      <c r="C75" s="39" t="inlineStr">
        <is>
          <t>Node / JS</t>
        </is>
      </c>
      <c r="D75" s="37" t="inlineStr">
        <is>
          <t>Senior</t>
        </is>
      </c>
      <c r="E75" s="4" t="inlineStr">
        <is>
          <t>System design patterns</t>
        </is>
      </c>
      <c r="F75" s="4" t="inlineStr">
        <is>
          <t>Explain CQRS. What problem does it solve, and what does it cost you?</t>
        </is>
      </c>
      <c r="G75"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75" s="40" t="n"/>
    </row>
    <row r="76" ht="108" customHeight="1">
      <c r="A76" s="41" t="n"/>
      <c r="B76" s="41" t="n"/>
      <c r="C76" s="41" t="n"/>
      <c r="D76" s="41" t="n"/>
      <c r="E76" s="4" t="inlineStr">
        <is>
          <t>Integration patterns</t>
        </is>
      </c>
      <c r="F76" s="4" t="inlineStr">
        <is>
          <t>Two services must stay in step. Walk me through choosing between a synchronous API call, a message queue, and a shared database.</t>
        </is>
      </c>
      <c r="G76"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76" s="40" t="n"/>
    </row>
    <row r="77" ht="108" customHeight="1">
      <c r="A77" s="41" t="n"/>
      <c r="B77" s="41" t="n"/>
      <c r="C77" s="41" t="n"/>
      <c r="D77" s="41" t="n"/>
      <c r="E77" s="4" t="inlineStr">
        <is>
          <t>Security considerations</t>
        </is>
      </c>
      <c r="F77" s="4" t="inlineStr">
        <is>
          <t>Explain the difference between authentication and authorisation, and where each belongs in a microservices setup.</t>
        </is>
      </c>
      <c r="G77"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77" s="40" t="n"/>
    </row>
    <row r="78" ht="108" customHeight="1">
      <c r="A78" s="41" t="n"/>
      <c r="B78" s="41" t="n"/>
      <c r="C78" s="41" t="n"/>
      <c r="D78" s="41" t="n"/>
      <c r="E78" s="4" t="inlineStr">
        <is>
          <t>Scalability</t>
        </is>
      </c>
      <c r="F78" s="4" t="inlineStr">
        <is>
          <t>Vertical versus horizontal scaling — and what has to be true of your application before horizontal works?</t>
        </is>
      </c>
      <c r="G78"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78" s="40" t="n"/>
    </row>
    <row r="79" ht="108" customHeight="1">
      <c r="A79" s="41" t="n"/>
      <c r="B79" s="41" t="n"/>
      <c r="C79" s="41" t="n"/>
      <c r="D79" s="41" t="n"/>
      <c r="E79" s="4" t="inlineStr">
        <is>
          <t>Multi-tenancy</t>
        </is>
      </c>
      <c r="F79" s="4" t="inlineStr">
        <is>
          <t>Describe the models for multi-tenant data isolation and the trade-offs between them.</t>
        </is>
      </c>
      <c r="G79"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79" s="40" t="n"/>
    </row>
    <row r="80" ht="108" customHeight="1">
      <c r="A80" s="41" t="n"/>
      <c r="B80" s="41" t="n"/>
      <c r="C80" s="41" t="n"/>
      <c r="D80" s="41" t="n"/>
      <c r="E80" s="4" t="inlineStr">
        <is>
          <t>Infrastructure</t>
        </is>
      </c>
      <c r="F80" s="4" t="inlineStr">
        <is>
          <t>What does a good CI/CD pipeline do, and what belongs in CI as opposed to CD?</t>
        </is>
      </c>
      <c r="G80"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80" s="40" t="n"/>
    </row>
    <row r="81" ht="108" customHeight="1">
      <c r="A81" s="42" t="n"/>
      <c r="B81" s="42" t="n"/>
      <c r="C81" s="42" t="n"/>
      <c r="D81" s="42" t="n"/>
      <c r="E81" s="4" t="inlineStr">
        <is>
          <t>Architecture</t>
        </is>
      </c>
      <c r="F81" s="4" t="inlineStr">
        <is>
          <t>Monolith or microservices — how do you decide, and what does microservices cost?</t>
        </is>
      </c>
      <c r="G81"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81" s="40" t="n"/>
    </row>
    <row r="82" ht="108" customHeight="1">
      <c r="A82" s="37" t="n">
        <v>12</v>
      </c>
      <c r="B82" s="38" t="inlineStr">
        <is>
          <t>Karthy</t>
        </is>
      </c>
      <c r="C82" s="39" t="inlineStr">
        <is>
          <t>Node / JS</t>
        </is>
      </c>
      <c r="D82" s="37" t="inlineStr">
        <is>
          <t>Senior</t>
        </is>
      </c>
      <c r="E82" s="4" t="inlineStr">
        <is>
          <t>System design patterns</t>
        </is>
      </c>
      <c r="F82" s="4" t="inlineStr">
        <is>
          <t>Explain CQRS. What problem does it solve, and what does it cost you?</t>
        </is>
      </c>
      <c r="G82"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82" s="40" t="n"/>
    </row>
    <row r="83" ht="108" customHeight="1">
      <c r="A83" s="41" t="n"/>
      <c r="B83" s="41" t="n"/>
      <c r="C83" s="41" t="n"/>
      <c r="D83" s="41" t="n"/>
      <c r="E83" s="4" t="inlineStr">
        <is>
          <t>Integration patterns</t>
        </is>
      </c>
      <c r="F83" s="4" t="inlineStr">
        <is>
          <t>Two services must stay in step. Walk me through choosing between a synchronous API call, a message queue, and a shared database.</t>
        </is>
      </c>
      <c r="G83"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83" s="40" t="n"/>
    </row>
    <row r="84" ht="108" customHeight="1">
      <c r="A84" s="41" t="n"/>
      <c r="B84" s="41" t="n"/>
      <c r="C84" s="41" t="n"/>
      <c r="D84" s="41" t="n"/>
      <c r="E84" s="4" t="inlineStr">
        <is>
          <t>Security considerations</t>
        </is>
      </c>
      <c r="F84" s="4" t="inlineStr">
        <is>
          <t>Explain the difference between authentication and authorisation, and where each belongs in a microservices setup.</t>
        </is>
      </c>
      <c r="G84"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84" s="40" t="n"/>
    </row>
    <row r="85" ht="108" customHeight="1">
      <c r="A85" s="41" t="n"/>
      <c r="B85" s="41" t="n"/>
      <c r="C85" s="41" t="n"/>
      <c r="D85" s="41" t="n"/>
      <c r="E85" s="4" t="inlineStr">
        <is>
          <t>Scalability</t>
        </is>
      </c>
      <c r="F85" s="4" t="inlineStr">
        <is>
          <t>Vertical versus horizontal scaling — and what has to be true of your application before horizontal works?</t>
        </is>
      </c>
      <c r="G85"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85" s="40" t="n"/>
    </row>
    <row r="86" ht="108" customHeight="1">
      <c r="A86" s="41" t="n"/>
      <c r="B86" s="41" t="n"/>
      <c r="C86" s="41" t="n"/>
      <c r="D86" s="41" t="n"/>
      <c r="E86" s="4" t="inlineStr">
        <is>
          <t>Multi-tenancy</t>
        </is>
      </c>
      <c r="F86" s="4" t="inlineStr">
        <is>
          <t>Describe the models for multi-tenant data isolation and the trade-offs between them.</t>
        </is>
      </c>
      <c r="G86"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86" s="40" t="n"/>
    </row>
    <row r="87" ht="108" customHeight="1">
      <c r="A87" s="41" t="n"/>
      <c r="B87" s="41" t="n"/>
      <c r="C87" s="41" t="n"/>
      <c r="D87" s="41" t="n"/>
      <c r="E87" s="4" t="inlineStr">
        <is>
          <t>Infrastructure</t>
        </is>
      </c>
      <c r="F87" s="4" t="inlineStr">
        <is>
          <t>What does a good CI/CD pipeline do, and what belongs in CI as opposed to CD?</t>
        </is>
      </c>
      <c r="G87"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87" s="40" t="n"/>
    </row>
    <row r="88" ht="108" customHeight="1">
      <c r="A88" s="42" t="n"/>
      <c r="B88" s="42" t="n"/>
      <c r="C88" s="42" t="n"/>
      <c r="D88" s="42" t="n"/>
      <c r="E88" s="4" t="inlineStr">
        <is>
          <t>Architecture</t>
        </is>
      </c>
      <c r="F88" s="4" t="inlineStr">
        <is>
          <t>Monolith or microservices — how do you decide, and what does microservices cost?</t>
        </is>
      </c>
      <c r="G88"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88" s="40" t="n"/>
    </row>
    <row r="89" ht="108" customHeight="1">
      <c r="A89" s="37" t="n">
        <v>13</v>
      </c>
      <c r="B89" s="38" t="inlineStr">
        <is>
          <t>Adhithyan C</t>
        </is>
      </c>
      <c r="C89" s="39" t="inlineStr">
        <is>
          <t>Support</t>
        </is>
      </c>
      <c r="D89" s="37" t="inlineStr">
        <is>
          <t>Mid</t>
        </is>
      </c>
      <c r="E89" s="4" t="inlineStr">
        <is>
          <t>System design patterns</t>
        </is>
      </c>
      <c r="F89" s="4" t="inlineStr">
        <is>
          <t>Explain CQRS. What problem does it solve, and what does it cost you?</t>
        </is>
      </c>
      <c r="G89"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89" s="40" t="n"/>
    </row>
    <row r="90" ht="108" customHeight="1">
      <c r="A90" s="41" t="n"/>
      <c r="B90" s="41" t="n"/>
      <c r="C90" s="41" t="n"/>
      <c r="D90" s="41" t="n"/>
      <c r="E90" s="4" t="inlineStr">
        <is>
          <t>Integration patterns</t>
        </is>
      </c>
      <c r="F90" s="4" t="inlineStr">
        <is>
          <t>Two services must stay in step. Walk me through choosing between a synchronous API call, a message queue, and a shared database.</t>
        </is>
      </c>
      <c r="G90"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90" s="40" t="n"/>
    </row>
    <row r="91" ht="108" customHeight="1">
      <c r="A91" s="41" t="n"/>
      <c r="B91" s="41" t="n"/>
      <c r="C91" s="41" t="n"/>
      <c r="D91" s="41" t="n"/>
      <c r="E91" s="4" t="inlineStr">
        <is>
          <t>Security considerations</t>
        </is>
      </c>
      <c r="F91" s="4" t="inlineStr">
        <is>
          <t>Explain the difference between authentication and authorisation, and where each belongs in a microservices setup.</t>
        </is>
      </c>
      <c r="G91"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91" s="40" t="n"/>
    </row>
    <row r="92" ht="108" customHeight="1">
      <c r="A92" s="41" t="n"/>
      <c r="B92" s="41" t="n"/>
      <c r="C92" s="41" t="n"/>
      <c r="D92" s="41" t="n"/>
      <c r="E92" s="4" t="inlineStr">
        <is>
          <t>Scalability</t>
        </is>
      </c>
      <c r="F92" s="4" t="inlineStr">
        <is>
          <t>Vertical versus horizontal scaling — and what has to be true of your application before horizontal works?</t>
        </is>
      </c>
      <c r="G92"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92" s="40" t="n"/>
    </row>
    <row r="93" ht="108" customHeight="1">
      <c r="A93" s="41" t="n"/>
      <c r="B93" s="41" t="n"/>
      <c r="C93" s="41" t="n"/>
      <c r="D93" s="41" t="n"/>
      <c r="E93" s="4" t="inlineStr">
        <is>
          <t>Multi-tenancy</t>
        </is>
      </c>
      <c r="F93" s="4" t="inlineStr">
        <is>
          <t>Describe the models for multi-tenant data isolation and the trade-offs between them.</t>
        </is>
      </c>
      <c r="G93"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93" s="40" t="n"/>
    </row>
    <row r="94" ht="108" customHeight="1">
      <c r="A94" s="41" t="n"/>
      <c r="B94" s="41" t="n"/>
      <c r="C94" s="41" t="n"/>
      <c r="D94" s="41" t="n"/>
      <c r="E94" s="4" t="inlineStr">
        <is>
          <t>Infrastructure</t>
        </is>
      </c>
      <c r="F94" s="4" t="inlineStr">
        <is>
          <t>What does a good CI/CD pipeline do, and what belongs in CI as opposed to CD?</t>
        </is>
      </c>
      <c r="G94"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94" s="40" t="n"/>
    </row>
    <row r="95" ht="108" customHeight="1">
      <c r="A95" s="42" t="n"/>
      <c r="B95" s="42" t="n"/>
      <c r="C95" s="42" t="n"/>
      <c r="D95" s="42" t="n"/>
      <c r="E95" s="4" t="inlineStr">
        <is>
          <t>Architecture</t>
        </is>
      </c>
      <c r="F95" s="4" t="inlineStr">
        <is>
          <t>Monolith or microservices — how do you decide, and what does microservices cost?</t>
        </is>
      </c>
      <c r="G95"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95" s="40" t="n"/>
    </row>
    <row r="96" ht="108" customHeight="1">
      <c r="A96" s="37" t="n">
        <v>14</v>
      </c>
      <c r="B96" s="38" t="inlineStr">
        <is>
          <t>Manoj</t>
        </is>
      </c>
      <c r="C96" s="39" t="inlineStr">
        <is>
          <t>Support</t>
        </is>
      </c>
      <c r="D96" s="37" t="inlineStr">
        <is>
          <t>Mid</t>
        </is>
      </c>
      <c r="E96" s="4" t="inlineStr">
        <is>
          <t>System design patterns</t>
        </is>
      </c>
      <c r="F96" s="4" t="inlineStr">
        <is>
          <t>Explain CQRS. What problem does it solve, and what does it cost you?</t>
        </is>
      </c>
      <c r="G96"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96" s="40" t="n"/>
    </row>
    <row r="97" ht="108" customHeight="1">
      <c r="A97" s="41" t="n"/>
      <c r="B97" s="41" t="n"/>
      <c r="C97" s="41" t="n"/>
      <c r="D97" s="41" t="n"/>
      <c r="E97" s="4" t="inlineStr">
        <is>
          <t>Integration patterns</t>
        </is>
      </c>
      <c r="F97" s="4" t="inlineStr">
        <is>
          <t>Two services must stay in step. Walk me through choosing between a synchronous API call, a message queue, and a shared database.</t>
        </is>
      </c>
      <c r="G97"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97" s="40" t="n"/>
    </row>
    <row r="98" ht="108" customHeight="1">
      <c r="A98" s="41" t="n"/>
      <c r="B98" s="41" t="n"/>
      <c r="C98" s="41" t="n"/>
      <c r="D98" s="41" t="n"/>
      <c r="E98" s="4" t="inlineStr">
        <is>
          <t>Security considerations</t>
        </is>
      </c>
      <c r="F98" s="4" t="inlineStr">
        <is>
          <t>Explain the difference between authentication and authorisation, and where each belongs in a microservices setup.</t>
        </is>
      </c>
      <c r="G98"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98" s="40" t="n"/>
    </row>
    <row r="99" ht="108" customHeight="1">
      <c r="A99" s="41" t="n"/>
      <c r="B99" s="41" t="n"/>
      <c r="C99" s="41" t="n"/>
      <c r="D99" s="41" t="n"/>
      <c r="E99" s="4" t="inlineStr">
        <is>
          <t>Scalability</t>
        </is>
      </c>
      <c r="F99" s="4" t="inlineStr">
        <is>
          <t>Vertical versus horizontal scaling — and what has to be true of your application before horizontal works?</t>
        </is>
      </c>
      <c r="G99"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99" s="40" t="n"/>
    </row>
    <row r="100" ht="108" customHeight="1">
      <c r="A100" s="41" t="n"/>
      <c r="B100" s="41" t="n"/>
      <c r="C100" s="41" t="n"/>
      <c r="D100" s="41" t="n"/>
      <c r="E100" s="4" t="inlineStr">
        <is>
          <t>Multi-tenancy</t>
        </is>
      </c>
      <c r="F100" s="4" t="inlineStr">
        <is>
          <t>Describe the models for multi-tenant data isolation and the trade-offs between them.</t>
        </is>
      </c>
      <c r="G100"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00" s="40" t="n"/>
    </row>
    <row r="101" ht="108" customHeight="1">
      <c r="A101" s="41" t="n"/>
      <c r="B101" s="41" t="n"/>
      <c r="C101" s="41" t="n"/>
      <c r="D101" s="41" t="n"/>
      <c r="E101" s="4" t="inlineStr">
        <is>
          <t>Infrastructure</t>
        </is>
      </c>
      <c r="F101" s="4" t="inlineStr">
        <is>
          <t>What does a good CI/CD pipeline do, and what belongs in CI as opposed to CD?</t>
        </is>
      </c>
      <c r="G101"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01" s="40" t="n"/>
    </row>
    <row r="102" ht="108" customHeight="1">
      <c r="A102" s="42" t="n"/>
      <c r="B102" s="42" t="n"/>
      <c r="C102" s="42" t="n"/>
      <c r="D102" s="42" t="n"/>
      <c r="E102" s="4" t="inlineStr">
        <is>
          <t>Architecture</t>
        </is>
      </c>
      <c r="F102" s="4" t="inlineStr">
        <is>
          <t>Monolith or microservices — how do you decide, and what does microservices cost?</t>
        </is>
      </c>
      <c r="G102"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02" s="40" t="n"/>
    </row>
    <row r="103" ht="108" customHeight="1">
      <c r="A103" s="37" t="n">
        <v>15</v>
      </c>
      <c r="B103" s="38" t="inlineStr">
        <is>
          <t>Sankar Ponnusamy</t>
        </is>
      </c>
      <c r="C103" s="39" t="inlineStr">
        <is>
          <t>Support</t>
        </is>
      </c>
      <c r="D103" s="37" t="inlineStr">
        <is>
          <t>Mid</t>
        </is>
      </c>
      <c r="E103" s="4" t="inlineStr">
        <is>
          <t>System design patterns</t>
        </is>
      </c>
      <c r="F103" s="4" t="inlineStr">
        <is>
          <t>Explain CQRS. What problem does it solve, and what does it cost you?</t>
        </is>
      </c>
      <c r="G103"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03" s="40" t="n"/>
    </row>
    <row r="104" ht="108" customHeight="1">
      <c r="A104" s="41" t="n"/>
      <c r="B104" s="41" t="n"/>
      <c r="C104" s="41" t="n"/>
      <c r="D104" s="41" t="n"/>
      <c r="E104" s="4" t="inlineStr">
        <is>
          <t>Integration patterns</t>
        </is>
      </c>
      <c r="F104" s="4" t="inlineStr">
        <is>
          <t>Two services must stay in step. Walk me through choosing between a synchronous API call, a message queue, and a shared database.</t>
        </is>
      </c>
      <c r="G104"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04" s="40" t="n"/>
    </row>
    <row r="105" ht="108" customHeight="1">
      <c r="A105" s="41" t="n"/>
      <c r="B105" s="41" t="n"/>
      <c r="C105" s="41" t="n"/>
      <c r="D105" s="41" t="n"/>
      <c r="E105" s="4" t="inlineStr">
        <is>
          <t>Security considerations</t>
        </is>
      </c>
      <c r="F105" s="4" t="inlineStr">
        <is>
          <t>Explain the difference between authentication and authorisation, and where each belongs in a microservices setup.</t>
        </is>
      </c>
      <c r="G105"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05" s="40" t="n"/>
    </row>
    <row r="106" ht="108" customHeight="1">
      <c r="A106" s="41" t="n"/>
      <c r="B106" s="41" t="n"/>
      <c r="C106" s="41" t="n"/>
      <c r="D106" s="41" t="n"/>
      <c r="E106" s="4" t="inlineStr">
        <is>
          <t>Scalability</t>
        </is>
      </c>
      <c r="F106" s="4" t="inlineStr">
        <is>
          <t>Vertical versus horizontal scaling — and what has to be true of your application before horizontal works?</t>
        </is>
      </c>
      <c r="G106"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06" s="40" t="n"/>
    </row>
    <row r="107" ht="108" customHeight="1">
      <c r="A107" s="41" t="n"/>
      <c r="B107" s="41" t="n"/>
      <c r="C107" s="41" t="n"/>
      <c r="D107" s="41" t="n"/>
      <c r="E107" s="4" t="inlineStr">
        <is>
          <t>Multi-tenancy</t>
        </is>
      </c>
      <c r="F107" s="4" t="inlineStr">
        <is>
          <t>Describe the models for multi-tenant data isolation and the trade-offs between them.</t>
        </is>
      </c>
      <c r="G107"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07" s="40" t="n"/>
    </row>
    <row r="108" ht="108" customHeight="1">
      <c r="A108" s="41" t="n"/>
      <c r="B108" s="41" t="n"/>
      <c r="C108" s="41" t="n"/>
      <c r="D108" s="41" t="n"/>
      <c r="E108" s="4" t="inlineStr">
        <is>
          <t>Infrastructure</t>
        </is>
      </c>
      <c r="F108" s="4" t="inlineStr">
        <is>
          <t>What does a good CI/CD pipeline do, and what belongs in CI as opposed to CD?</t>
        </is>
      </c>
      <c r="G108"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08" s="40" t="n"/>
    </row>
    <row r="109" ht="108" customHeight="1">
      <c r="A109" s="42" t="n"/>
      <c r="B109" s="42" t="n"/>
      <c r="C109" s="42" t="n"/>
      <c r="D109" s="42" t="n"/>
      <c r="E109" s="4" t="inlineStr">
        <is>
          <t>Architecture</t>
        </is>
      </c>
      <c r="F109" s="4" t="inlineStr">
        <is>
          <t>Monolith or microservices — how do you decide, and what does microservices cost?</t>
        </is>
      </c>
      <c r="G109"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09" s="40" t="n"/>
    </row>
    <row r="110" ht="108" customHeight="1">
      <c r="A110" s="37" t="n">
        <v>16</v>
      </c>
      <c r="B110" s="38" t="inlineStr">
        <is>
          <t>Shanmuga raja</t>
        </is>
      </c>
      <c r="C110" s="39" t="inlineStr">
        <is>
          <t>Support</t>
        </is>
      </c>
      <c r="D110" s="37" t="inlineStr">
        <is>
          <t>Mid</t>
        </is>
      </c>
      <c r="E110" s="4" t="inlineStr">
        <is>
          <t>System design patterns</t>
        </is>
      </c>
      <c r="F110" s="4" t="inlineStr">
        <is>
          <t>Explain CQRS. What problem does it solve, and what does it cost you?</t>
        </is>
      </c>
      <c r="G110"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10" s="40" t="n"/>
    </row>
    <row r="111" ht="108" customHeight="1">
      <c r="A111" s="41" t="n"/>
      <c r="B111" s="41" t="n"/>
      <c r="C111" s="41" t="n"/>
      <c r="D111" s="41" t="n"/>
      <c r="E111" s="4" t="inlineStr">
        <is>
          <t>Integration patterns</t>
        </is>
      </c>
      <c r="F111" s="4" t="inlineStr">
        <is>
          <t>Two services must stay in step. Walk me through choosing between a synchronous API call, a message queue, and a shared database.</t>
        </is>
      </c>
      <c r="G111"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11" s="40" t="n"/>
    </row>
    <row r="112" ht="108" customHeight="1">
      <c r="A112" s="41" t="n"/>
      <c r="B112" s="41" t="n"/>
      <c r="C112" s="41" t="n"/>
      <c r="D112" s="41" t="n"/>
      <c r="E112" s="4" t="inlineStr">
        <is>
          <t>Security considerations</t>
        </is>
      </c>
      <c r="F112" s="4" t="inlineStr">
        <is>
          <t>Explain the difference between authentication and authorisation, and where each belongs in a microservices setup.</t>
        </is>
      </c>
      <c r="G112"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12" s="40" t="n"/>
    </row>
    <row r="113" ht="108" customHeight="1">
      <c r="A113" s="41" t="n"/>
      <c r="B113" s="41" t="n"/>
      <c r="C113" s="41" t="n"/>
      <c r="D113" s="41" t="n"/>
      <c r="E113" s="4" t="inlineStr">
        <is>
          <t>Scalability</t>
        </is>
      </c>
      <c r="F113" s="4" t="inlineStr">
        <is>
          <t>Vertical versus horizontal scaling — and what has to be true of your application before horizontal works?</t>
        </is>
      </c>
      <c r="G113"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13" s="40" t="n"/>
    </row>
    <row r="114" ht="108" customHeight="1">
      <c r="A114" s="41" t="n"/>
      <c r="B114" s="41" t="n"/>
      <c r="C114" s="41" t="n"/>
      <c r="D114" s="41" t="n"/>
      <c r="E114" s="4" t="inlineStr">
        <is>
          <t>Multi-tenancy</t>
        </is>
      </c>
      <c r="F114" s="4" t="inlineStr">
        <is>
          <t>Describe the models for multi-tenant data isolation and the trade-offs between them.</t>
        </is>
      </c>
      <c r="G114"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14" s="40" t="n"/>
    </row>
    <row r="115" ht="108" customHeight="1">
      <c r="A115" s="41" t="n"/>
      <c r="B115" s="41" t="n"/>
      <c r="C115" s="41" t="n"/>
      <c r="D115" s="41" t="n"/>
      <c r="E115" s="4" t="inlineStr">
        <is>
          <t>Infrastructure</t>
        </is>
      </c>
      <c r="F115" s="4" t="inlineStr">
        <is>
          <t>What does a good CI/CD pipeline do, and what belongs in CI as opposed to CD?</t>
        </is>
      </c>
      <c r="G115"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15" s="40" t="n"/>
    </row>
    <row r="116" ht="108" customHeight="1">
      <c r="A116" s="42" t="n"/>
      <c r="B116" s="42" t="n"/>
      <c r="C116" s="42" t="n"/>
      <c r="D116" s="42" t="n"/>
      <c r="E116" s="4" t="inlineStr">
        <is>
          <t>Architecture</t>
        </is>
      </c>
      <c r="F116" s="4" t="inlineStr">
        <is>
          <t>Monolith or microservices — how do you decide, and what does microservices cost?</t>
        </is>
      </c>
      <c r="G116"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16" s="40" t="n"/>
    </row>
    <row r="117" ht="108" customHeight="1">
      <c r="A117" s="37" t="n">
        <v>17</v>
      </c>
      <c r="B117" s="38" t="inlineStr">
        <is>
          <t>Srinidhi Ravi</t>
        </is>
      </c>
      <c r="C117" s="39" t="inlineStr">
        <is>
          <t>Java</t>
        </is>
      </c>
      <c r="D117" s="37" t="inlineStr">
        <is>
          <t>Mid</t>
        </is>
      </c>
      <c r="E117" s="4" t="inlineStr">
        <is>
          <t>System design patterns</t>
        </is>
      </c>
      <c r="F117" s="4" t="inlineStr">
        <is>
          <t>Explain CQRS. What problem does it solve, and what does it cost you?</t>
        </is>
      </c>
      <c r="G117"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17" s="40" t="n"/>
    </row>
    <row r="118" ht="108" customHeight="1">
      <c r="A118" s="41" t="n"/>
      <c r="B118" s="41" t="n"/>
      <c r="C118" s="41" t="n"/>
      <c r="D118" s="41" t="n"/>
      <c r="E118" s="4" t="inlineStr">
        <is>
          <t>Integration patterns</t>
        </is>
      </c>
      <c r="F118" s="4" t="inlineStr">
        <is>
          <t>Two services must stay in step. Walk me through choosing between a synchronous API call, a message queue, and a shared database.</t>
        </is>
      </c>
      <c r="G118"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18" s="40" t="n"/>
    </row>
    <row r="119" ht="108" customHeight="1">
      <c r="A119" s="41" t="n"/>
      <c r="B119" s="41" t="n"/>
      <c r="C119" s="41" t="n"/>
      <c r="D119" s="41" t="n"/>
      <c r="E119" s="4" t="inlineStr">
        <is>
          <t>Security considerations</t>
        </is>
      </c>
      <c r="F119" s="4" t="inlineStr">
        <is>
          <t>Explain the difference between authentication and authorisation, and where each belongs in a microservices setup.</t>
        </is>
      </c>
      <c r="G119"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19" s="40" t="n"/>
    </row>
    <row r="120" ht="108" customHeight="1">
      <c r="A120" s="41" t="n"/>
      <c r="B120" s="41" t="n"/>
      <c r="C120" s="41" t="n"/>
      <c r="D120" s="41" t="n"/>
      <c r="E120" s="4" t="inlineStr">
        <is>
          <t>Scalability</t>
        </is>
      </c>
      <c r="F120" s="4" t="inlineStr">
        <is>
          <t>Vertical versus horizontal scaling — and what has to be true of your application before horizontal works?</t>
        </is>
      </c>
      <c r="G120"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20" s="40" t="n"/>
    </row>
    <row r="121" ht="108" customHeight="1">
      <c r="A121" s="41" t="n"/>
      <c r="B121" s="41" t="n"/>
      <c r="C121" s="41" t="n"/>
      <c r="D121" s="41" t="n"/>
      <c r="E121" s="4" t="inlineStr">
        <is>
          <t>Multi-tenancy</t>
        </is>
      </c>
      <c r="F121" s="4" t="inlineStr">
        <is>
          <t>Describe the models for multi-tenant data isolation and the trade-offs between them.</t>
        </is>
      </c>
      <c r="G121"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21" s="40" t="n"/>
    </row>
    <row r="122" ht="108" customHeight="1">
      <c r="A122" s="41" t="n"/>
      <c r="B122" s="41" t="n"/>
      <c r="C122" s="41" t="n"/>
      <c r="D122" s="41" t="n"/>
      <c r="E122" s="4" t="inlineStr">
        <is>
          <t>Infrastructure</t>
        </is>
      </c>
      <c r="F122" s="4" t="inlineStr">
        <is>
          <t>What does a good CI/CD pipeline do, and what belongs in CI as opposed to CD?</t>
        </is>
      </c>
      <c r="G122"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22" s="40" t="n"/>
    </row>
    <row r="123" ht="108" customHeight="1">
      <c r="A123" s="42" t="n"/>
      <c r="B123" s="42" t="n"/>
      <c r="C123" s="42" t="n"/>
      <c r="D123" s="42" t="n"/>
      <c r="E123" s="4" t="inlineStr">
        <is>
          <t>Architecture</t>
        </is>
      </c>
      <c r="F123" s="4" t="inlineStr">
        <is>
          <t>Monolith or microservices — how do you decide, and what does microservices cost?</t>
        </is>
      </c>
      <c r="G123"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23" s="40" t="n"/>
    </row>
    <row r="124" ht="108" customHeight="1">
      <c r="A124" s="37" t="n">
        <v>18</v>
      </c>
      <c r="B124" s="38" t="inlineStr">
        <is>
          <t>Prince Kumar P</t>
        </is>
      </c>
      <c r="C124" s="39" t="inlineStr">
        <is>
          <t>Java</t>
        </is>
      </c>
      <c r="D124" s="37" t="inlineStr">
        <is>
          <t>Senior</t>
        </is>
      </c>
      <c r="E124" s="4" t="inlineStr">
        <is>
          <t>System design patterns</t>
        </is>
      </c>
      <c r="F124" s="4" t="inlineStr">
        <is>
          <t>Explain CQRS. What problem does it solve, and what does it cost you?</t>
        </is>
      </c>
      <c r="G124"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24" s="40" t="n"/>
    </row>
    <row r="125" ht="108" customHeight="1">
      <c r="A125" s="41" t="n"/>
      <c r="B125" s="41" t="n"/>
      <c r="C125" s="41" t="n"/>
      <c r="D125" s="41" t="n"/>
      <c r="E125" s="4" t="inlineStr">
        <is>
          <t>Integration patterns</t>
        </is>
      </c>
      <c r="F125" s="4" t="inlineStr">
        <is>
          <t>Two services must stay in step. Walk me through choosing between a synchronous API call, a message queue, and a shared database.</t>
        </is>
      </c>
      <c r="G125"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25" s="40" t="n"/>
    </row>
    <row r="126" ht="108" customHeight="1">
      <c r="A126" s="41" t="n"/>
      <c r="B126" s="41" t="n"/>
      <c r="C126" s="41" t="n"/>
      <c r="D126" s="41" t="n"/>
      <c r="E126" s="4" t="inlineStr">
        <is>
          <t>Security considerations</t>
        </is>
      </c>
      <c r="F126" s="4" t="inlineStr">
        <is>
          <t>Explain the difference between authentication and authorisation, and where each belongs in a microservices setup.</t>
        </is>
      </c>
      <c r="G126"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26" s="40" t="n"/>
    </row>
    <row r="127" ht="108" customHeight="1">
      <c r="A127" s="41" t="n"/>
      <c r="B127" s="41" t="n"/>
      <c r="C127" s="41" t="n"/>
      <c r="D127" s="41" t="n"/>
      <c r="E127" s="4" t="inlineStr">
        <is>
          <t>Scalability</t>
        </is>
      </c>
      <c r="F127" s="4" t="inlineStr">
        <is>
          <t>Vertical versus horizontal scaling — and what has to be true of your application before horizontal works?</t>
        </is>
      </c>
      <c r="G127"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27" s="40" t="n"/>
    </row>
    <row r="128" ht="108" customHeight="1">
      <c r="A128" s="41" t="n"/>
      <c r="B128" s="41" t="n"/>
      <c r="C128" s="41" t="n"/>
      <c r="D128" s="41" t="n"/>
      <c r="E128" s="4" t="inlineStr">
        <is>
          <t>Multi-tenancy</t>
        </is>
      </c>
      <c r="F128" s="4" t="inlineStr">
        <is>
          <t>Describe the models for multi-tenant data isolation and the trade-offs between them.</t>
        </is>
      </c>
      <c r="G128"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28" s="40" t="n"/>
    </row>
    <row r="129" ht="108" customHeight="1">
      <c r="A129" s="41" t="n"/>
      <c r="B129" s="41" t="n"/>
      <c r="C129" s="41" t="n"/>
      <c r="D129" s="41" t="n"/>
      <c r="E129" s="4" t="inlineStr">
        <is>
          <t>Infrastructure</t>
        </is>
      </c>
      <c r="F129" s="4" t="inlineStr">
        <is>
          <t>What does a good CI/CD pipeline do, and what belongs in CI as opposed to CD?</t>
        </is>
      </c>
      <c r="G129"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29" s="40" t="n"/>
    </row>
    <row r="130" ht="108" customHeight="1">
      <c r="A130" s="42" t="n"/>
      <c r="B130" s="42" t="n"/>
      <c r="C130" s="42" t="n"/>
      <c r="D130" s="42" t="n"/>
      <c r="E130" s="4" t="inlineStr">
        <is>
          <t>Architecture</t>
        </is>
      </c>
      <c r="F130" s="4" t="inlineStr">
        <is>
          <t>Monolith or microservices — how do you decide, and what does microservices cost?</t>
        </is>
      </c>
      <c r="G130"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30" s="40" t="n"/>
    </row>
    <row r="131" ht="108" customHeight="1">
      <c r="A131" s="37" t="n">
        <v>19</v>
      </c>
      <c r="B131" s="38" t="inlineStr">
        <is>
          <t>Gangasri Paramasivam</t>
        </is>
      </c>
      <c r="C131" s="39" t="inlineStr">
        <is>
          <t>Java</t>
        </is>
      </c>
      <c r="D131" s="37" t="inlineStr">
        <is>
          <t>Senior</t>
        </is>
      </c>
      <c r="E131" s="4" t="inlineStr">
        <is>
          <t>System design patterns</t>
        </is>
      </c>
      <c r="F131" s="4" t="inlineStr">
        <is>
          <t>Explain CQRS. What problem does it solve, and what does it cost you?</t>
        </is>
      </c>
      <c r="G131"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31" s="40" t="n"/>
    </row>
    <row r="132" ht="108" customHeight="1">
      <c r="A132" s="41" t="n"/>
      <c r="B132" s="41" t="n"/>
      <c r="C132" s="41" t="n"/>
      <c r="D132" s="41" t="n"/>
      <c r="E132" s="4" t="inlineStr">
        <is>
          <t>Integration patterns</t>
        </is>
      </c>
      <c r="F132" s="4" t="inlineStr">
        <is>
          <t>Two services must stay in step. Walk me through choosing between a synchronous API call, a message queue, and a shared database.</t>
        </is>
      </c>
      <c r="G132"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32" s="40" t="n"/>
    </row>
    <row r="133" ht="108" customHeight="1">
      <c r="A133" s="41" t="n"/>
      <c r="B133" s="41" t="n"/>
      <c r="C133" s="41" t="n"/>
      <c r="D133" s="41" t="n"/>
      <c r="E133" s="4" t="inlineStr">
        <is>
          <t>Security considerations</t>
        </is>
      </c>
      <c r="F133" s="4" t="inlineStr">
        <is>
          <t>Explain the difference between authentication and authorisation, and where each belongs in a microservices setup.</t>
        </is>
      </c>
      <c r="G133"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33" s="40" t="n"/>
    </row>
    <row r="134" ht="108" customHeight="1">
      <c r="A134" s="41" t="n"/>
      <c r="B134" s="41" t="n"/>
      <c r="C134" s="41" t="n"/>
      <c r="D134" s="41" t="n"/>
      <c r="E134" s="4" t="inlineStr">
        <is>
          <t>Scalability</t>
        </is>
      </c>
      <c r="F134" s="4" t="inlineStr">
        <is>
          <t>Vertical versus horizontal scaling — and what has to be true of your application before horizontal works?</t>
        </is>
      </c>
      <c r="G134"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34" s="40" t="n"/>
    </row>
    <row r="135" ht="108" customHeight="1">
      <c r="A135" s="41" t="n"/>
      <c r="B135" s="41" t="n"/>
      <c r="C135" s="41" t="n"/>
      <c r="D135" s="41" t="n"/>
      <c r="E135" s="4" t="inlineStr">
        <is>
          <t>Multi-tenancy</t>
        </is>
      </c>
      <c r="F135" s="4" t="inlineStr">
        <is>
          <t>Describe the models for multi-tenant data isolation and the trade-offs between them.</t>
        </is>
      </c>
      <c r="G135"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35" s="40" t="n"/>
    </row>
    <row r="136" ht="108" customHeight="1">
      <c r="A136" s="41" t="n"/>
      <c r="B136" s="41" t="n"/>
      <c r="C136" s="41" t="n"/>
      <c r="D136" s="41" t="n"/>
      <c r="E136" s="4" t="inlineStr">
        <is>
          <t>Infrastructure</t>
        </is>
      </c>
      <c r="F136" s="4" t="inlineStr">
        <is>
          <t>What does a good CI/CD pipeline do, and what belongs in CI as opposed to CD?</t>
        </is>
      </c>
      <c r="G136"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36" s="40" t="n"/>
    </row>
    <row r="137" ht="108" customHeight="1">
      <c r="A137" s="42" t="n"/>
      <c r="B137" s="42" t="n"/>
      <c r="C137" s="42" t="n"/>
      <c r="D137" s="42" t="n"/>
      <c r="E137" s="4" t="inlineStr">
        <is>
          <t>Architecture</t>
        </is>
      </c>
      <c r="F137" s="4" t="inlineStr">
        <is>
          <t>Monolith or microservices — how do you decide, and what does microservices cost?</t>
        </is>
      </c>
      <c r="G137"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37" s="40" t="n"/>
    </row>
    <row r="138" ht="108" customHeight="1">
      <c r="A138" s="37" t="n">
        <v>20</v>
      </c>
      <c r="B138" s="38" t="inlineStr">
        <is>
          <t>Gunavadhi A S</t>
        </is>
      </c>
      <c r="C138" s="39" t="inlineStr">
        <is>
          <t>Java</t>
        </is>
      </c>
      <c r="D138" s="37" t="inlineStr">
        <is>
          <t>Senior</t>
        </is>
      </c>
      <c r="E138" s="4" t="inlineStr">
        <is>
          <t>System design patterns</t>
        </is>
      </c>
      <c r="F138" s="4" t="inlineStr">
        <is>
          <t>Explain CQRS. What problem does it solve, and what does it cost you?</t>
        </is>
      </c>
      <c r="G138"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38" s="40" t="n"/>
    </row>
    <row r="139" ht="108" customHeight="1">
      <c r="A139" s="41" t="n"/>
      <c r="B139" s="41" t="n"/>
      <c r="C139" s="41" t="n"/>
      <c r="D139" s="41" t="n"/>
      <c r="E139" s="4" t="inlineStr">
        <is>
          <t>Integration patterns</t>
        </is>
      </c>
      <c r="F139" s="4" t="inlineStr">
        <is>
          <t>Two services must stay in step. Walk me through choosing between a synchronous API call, a message queue, and a shared database.</t>
        </is>
      </c>
      <c r="G139"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39" s="40" t="n"/>
    </row>
    <row r="140" ht="108" customHeight="1">
      <c r="A140" s="41" t="n"/>
      <c r="B140" s="41" t="n"/>
      <c r="C140" s="41" t="n"/>
      <c r="D140" s="41" t="n"/>
      <c r="E140" s="4" t="inlineStr">
        <is>
          <t>Security considerations</t>
        </is>
      </c>
      <c r="F140" s="4" t="inlineStr">
        <is>
          <t>Explain the difference between authentication and authorisation, and where each belongs in a microservices setup.</t>
        </is>
      </c>
      <c r="G140"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40" s="40" t="n"/>
    </row>
    <row r="141" ht="108" customHeight="1">
      <c r="A141" s="41" t="n"/>
      <c r="B141" s="41" t="n"/>
      <c r="C141" s="41" t="n"/>
      <c r="D141" s="41" t="n"/>
      <c r="E141" s="4" t="inlineStr">
        <is>
          <t>Scalability</t>
        </is>
      </c>
      <c r="F141" s="4" t="inlineStr">
        <is>
          <t>Vertical versus horizontal scaling — and what has to be true of your application before horizontal works?</t>
        </is>
      </c>
      <c r="G141"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41" s="40" t="n"/>
    </row>
    <row r="142" ht="108" customHeight="1">
      <c r="A142" s="41" t="n"/>
      <c r="B142" s="41" t="n"/>
      <c r="C142" s="41" t="n"/>
      <c r="D142" s="41" t="n"/>
      <c r="E142" s="4" t="inlineStr">
        <is>
          <t>Multi-tenancy</t>
        </is>
      </c>
      <c r="F142" s="4" t="inlineStr">
        <is>
          <t>Describe the models for multi-tenant data isolation and the trade-offs between them.</t>
        </is>
      </c>
      <c r="G142"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42" s="40" t="n"/>
    </row>
    <row r="143" ht="108" customHeight="1">
      <c r="A143" s="41" t="n"/>
      <c r="B143" s="41" t="n"/>
      <c r="C143" s="41" t="n"/>
      <c r="D143" s="41" t="n"/>
      <c r="E143" s="4" t="inlineStr">
        <is>
          <t>Infrastructure</t>
        </is>
      </c>
      <c r="F143" s="4" t="inlineStr">
        <is>
          <t>What does a good CI/CD pipeline do, and what belongs in CI as opposed to CD?</t>
        </is>
      </c>
      <c r="G143"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43" s="40" t="n"/>
    </row>
    <row r="144" ht="108" customHeight="1">
      <c r="A144" s="42" t="n"/>
      <c r="B144" s="42" t="n"/>
      <c r="C144" s="42" t="n"/>
      <c r="D144" s="42" t="n"/>
      <c r="E144" s="4" t="inlineStr">
        <is>
          <t>Architecture</t>
        </is>
      </c>
      <c r="F144" s="4" t="inlineStr">
        <is>
          <t>Monolith or microservices — how do you decide, and what does microservices cost?</t>
        </is>
      </c>
      <c r="G144"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44" s="40" t="n"/>
    </row>
    <row r="145" ht="108" customHeight="1">
      <c r="A145" s="37" t="n">
        <v>21</v>
      </c>
      <c r="B145" s="38" t="inlineStr">
        <is>
          <t>Dhachanamoorthy N</t>
        </is>
      </c>
      <c r="C145" s="39" t="inlineStr">
        <is>
          <t>Node / JS</t>
        </is>
      </c>
      <c r="D145" s="37" t="inlineStr">
        <is>
          <t>Mid</t>
        </is>
      </c>
      <c r="E145" s="4" t="inlineStr">
        <is>
          <t>System design patterns</t>
        </is>
      </c>
      <c r="F145" s="4" t="inlineStr">
        <is>
          <t>Explain CQRS. What problem does it solve, and what does it cost you?</t>
        </is>
      </c>
      <c r="G145"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45" s="40" t="n"/>
    </row>
    <row r="146" ht="108" customHeight="1">
      <c r="A146" s="41" t="n"/>
      <c r="B146" s="41" t="n"/>
      <c r="C146" s="41" t="n"/>
      <c r="D146" s="41" t="n"/>
      <c r="E146" s="4" t="inlineStr">
        <is>
          <t>Integration patterns</t>
        </is>
      </c>
      <c r="F146" s="4" t="inlineStr">
        <is>
          <t>Two services must stay in step. Walk me through choosing between a synchronous API call, a message queue, and a shared database.</t>
        </is>
      </c>
      <c r="G146"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46" s="40" t="n"/>
    </row>
    <row r="147" ht="108" customHeight="1">
      <c r="A147" s="41" t="n"/>
      <c r="B147" s="41" t="n"/>
      <c r="C147" s="41" t="n"/>
      <c r="D147" s="41" t="n"/>
      <c r="E147" s="4" t="inlineStr">
        <is>
          <t>Security considerations</t>
        </is>
      </c>
      <c r="F147" s="4" t="inlineStr">
        <is>
          <t>Explain the difference between authentication and authorisation, and where each belongs in a microservices setup.</t>
        </is>
      </c>
      <c r="G147"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47" s="40" t="n"/>
    </row>
    <row r="148" ht="108" customHeight="1">
      <c r="A148" s="41" t="n"/>
      <c r="B148" s="41" t="n"/>
      <c r="C148" s="41" t="n"/>
      <c r="D148" s="41" t="n"/>
      <c r="E148" s="4" t="inlineStr">
        <is>
          <t>Scalability</t>
        </is>
      </c>
      <c r="F148" s="4" t="inlineStr">
        <is>
          <t>Vertical versus horizontal scaling — and what has to be true of your application before horizontal works?</t>
        </is>
      </c>
      <c r="G148"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48" s="40" t="n"/>
    </row>
    <row r="149" ht="108" customHeight="1">
      <c r="A149" s="41" t="n"/>
      <c r="B149" s="41" t="n"/>
      <c r="C149" s="41" t="n"/>
      <c r="D149" s="41" t="n"/>
      <c r="E149" s="4" t="inlineStr">
        <is>
          <t>Multi-tenancy</t>
        </is>
      </c>
      <c r="F149" s="4" t="inlineStr">
        <is>
          <t>Describe the models for multi-tenant data isolation and the trade-offs between them.</t>
        </is>
      </c>
      <c r="G149"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49" s="40" t="n"/>
    </row>
    <row r="150" ht="108" customHeight="1">
      <c r="A150" s="41" t="n"/>
      <c r="B150" s="41" t="n"/>
      <c r="C150" s="41" t="n"/>
      <c r="D150" s="41" t="n"/>
      <c r="E150" s="4" t="inlineStr">
        <is>
          <t>Infrastructure</t>
        </is>
      </c>
      <c r="F150" s="4" t="inlineStr">
        <is>
          <t>What does a good CI/CD pipeline do, and what belongs in CI as opposed to CD?</t>
        </is>
      </c>
      <c r="G150"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50" s="40" t="n"/>
    </row>
    <row r="151" ht="108" customHeight="1">
      <c r="A151" s="42" t="n"/>
      <c r="B151" s="42" t="n"/>
      <c r="C151" s="42" t="n"/>
      <c r="D151" s="42" t="n"/>
      <c r="E151" s="4" t="inlineStr">
        <is>
          <t>Architecture</t>
        </is>
      </c>
      <c r="F151" s="4" t="inlineStr">
        <is>
          <t>Monolith or microservices — how do you decide, and what does microservices cost?</t>
        </is>
      </c>
      <c r="G151"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51" s="40" t="n"/>
    </row>
    <row r="152" ht="108" customHeight="1">
      <c r="A152" s="37" t="n">
        <v>22</v>
      </c>
      <c r="B152" s="38" t="inlineStr">
        <is>
          <t>Krishnan K</t>
        </is>
      </c>
      <c r="C152" s="39" t="inlineStr">
        <is>
          <t>Java</t>
        </is>
      </c>
      <c r="D152" s="37" t="inlineStr">
        <is>
          <t>Senior</t>
        </is>
      </c>
      <c r="E152" s="4" t="inlineStr">
        <is>
          <t>System design patterns</t>
        </is>
      </c>
      <c r="F152" s="4" t="inlineStr">
        <is>
          <t>Explain CQRS. What problem does it solve, and what does it cost you?</t>
        </is>
      </c>
      <c r="G152"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52" s="40" t="n"/>
    </row>
    <row r="153" ht="108" customHeight="1">
      <c r="A153" s="41" t="n"/>
      <c r="B153" s="41" t="n"/>
      <c r="C153" s="41" t="n"/>
      <c r="D153" s="41" t="n"/>
      <c r="E153" s="4" t="inlineStr">
        <is>
          <t>Integration patterns</t>
        </is>
      </c>
      <c r="F153" s="4" t="inlineStr">
        <is>
          <t>Two services must stay in step. Walk me through choosing between a synchronous API call, a message queue, and a shared database.</t>
        </is>
      </c>
      <c r="G153"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53" s="40" t="n"/>
    </row>
    <row r="154" ht="108" customHeight="1">
      <c r="A154" s="41" t="n"/>
      <c r="B154" s="41" t="n"/>
      <c r="C154" s="41" t="n"/>
      <c r="D154" s="41" t="n"/>
      <c r="E154" s="4" t="inlineStr">
        <is>
          <t>Security considerations</t>
        </is>
      </c>
      <c r="F154" s="4" t="inlineStr">
        <is>
          <t>Explain the difference between authentication and authorisation, and where each belongs in a microservices setup.</t>
        </is>
      </c>
      <c r="G154"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54" s="40" t="n"/>
    </row>
    <row r="155" ht="108" customHeight="1">
      <c r="A155" s="41" t="n"/>
      <c r="B155" s="41" t="n"/>
      <c r="C155" s="41" t="n"/>
      <c r="D155" s="41" t="n"/>
      <c r="E155" s="4" t="inlineStr">
        <is>
          <t>Scalability</t>
        </is>
      </c>
      <c r="F155" s="4" t="inlineStr">
        <is>
          <t>Vertical versus horizontal scaling — and what has to be true of your application before horizontal works?</t>
        </is>
      </c>
      <c r="G155"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55" s="40" t="n"/>
    </row>
    <row r="156" ht="108" customHeight="1">
      <c r="A156" s="41" t="n"/>
      <c r="B156" s="41" t="n"/>
      <c r="C156" s="41" t="n"/>
      <c r="D156" s="41" t="n"/>
      <c r="E156" s="4" t="inlineStr">
        <is>
          <t>Multi-tenancy</t>
        </is>
      </c>
      <c r="F156" s="4" t="inlineStr">
        <is>
          <t>Describe the models for multi-tenant data isolation and the trade-offs between them.</t>
        </is>
      </c>
      <c r="G156"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56" s="40" t="n"/>
    </row>
    <row r="157" ht="108" customHeight="1">
      <c r="A157" s="41" t="n"/>
      <c r="B157" s="41" t="n"/>
      <c r="C157" s="41" t="n"/>
      <c r="D157" s="41" t="n"/>
      <c r="E157" s="4" t="inlineStr">
        <is>
          <t>Infrastructure</t>
        </is>
      </c>
      <c r="F157" s="4" t="inlineStr">
        <is>
          <t>What does a good CI/CD pipeline do, and what belongs in CI as opposed to CD?</t>
        </is>
      </c>
      <c r="G157"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57" s="40" t="n"/>
    </row>
    <row r="158" ht="108" customHeight="1">
      <c r="A158" s="42" t="n"/>
      <c r="B158" s="42" t="n"/>
      <c r="C158" s="42" t="n"/>
      <c r="D158" s="42" t="n"/>
      <c r="E158" s="4" t="inlineStr">
        <is>
          <t>Architecture</t>
        </is>
      </c>
      <c r="F158" s="4" t="inlineStr">
        <is>
          <t>Monolith or microservices — how do you decide, and what does microservices cost?</t>
        </is>
      </c>
      <c r="G158"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58" s="40" t="n"/>
    </row>
  </sheetData>
  <mergeCells count="90">
    <mergeCell ref="A12:A18"/>
    <mergeCell ref="C12:C18"/>
    <mergeCell ref="C61:C67"/>
    <mergeCell ref="B68:B74"/>
    <mergeCell ref="D68:D74"/>
    <mergeCell ref="B33:B39"/>
    <mergeCell ref="D33:D39"/>
    <mergeCell ref="A96:A102"/>
    <mergeCell ref="B75:B81"/>
    <mergeCell ref="D19:D25"/>
    <mergeCell ref="B12:B18"/>
    <mergeCell ref="A40:A46"/>
    <mergeCell ref="A54:A60"/>
    <mergeCell ref="A138:A144"/>
    <mergeCell ref="C54:C60"/>
    <mergeCell ref="A82:A88"/>
    <mergeCell ref="B117:B123"/>
    <mergeCell ref="C26:C32"/>
    <mergeCell ref="A124:A130"/>
    <mergeCell ref="C124:C130"/>
    <mergeCell ref="C117:C123"/>
    <mergeCell ref="B103:B109"/>
    <mergeCell ref="D103:D109"/>
    <mergeCell ref="A5:A11"/>
    <mergeCell ref="C110:C116"/>
    <mergeCell ref="B40:B46"/>
    <mergeCell ref="D152:D158"/>
    <mergeCell ref="C82:C88"/>
    <mergeCell ref="A47:A53"/>
    <mergeCell ref="D26:D32"/>
    <mergeCell ref="C96:C102"/>
    <mergeCell ref="B89:B95"/>
    <mergeCell ref="D89:D95"/>
    <mergeCell ref="B138:B144"/>
    <mergeCell ref="D138:D144"/>
    <mergeCell ref="B26:B32"/>
    <mergeCell ref="C145:C151"/>
    <mergeCell ref="D82:D88"/>
    <mergeCell ref="B131:B137"/>
    <mergeCell ref="A2:H2"/>
    <mergeCell ref="A152:A158"/>
    <mergeCell ref="C68:C74"/>
    <mergeCell ref="D131:D137"/>
    <mergeCell ref="D124:D130"/>
    <mergeCell ref="B61:B67"/>
    <mergeCell ref="D61:D67"/>
    <mergeCell ref="C40:C46"/>
    <mergeCell ref="D47:D53"/>
    <mergeCell ref="A33:A39"/>
    <mergeCell ref="B54:B60"/>
    <mergeCell ref="D54:D60"/>
    <mergeCell ref="A19:A25"/>
    <mergeCell ref="A117:A123"/>
    <mergeCell ref="C33:C39"/>
    <mergeCell ref="D40:D46"/>
    <mergeCell ref="A110:A116"/>
    <mergeCell ref="A61:A67"/>
    <mergeCell ref="B96:B102"/>
    <mergeCell ref="C75:C81"/>
    <mergeCell ref="A103:A109"/>
    <mergeCell ref="C103:C109"/>
    <mergeCell ref="B145:B151"/>
    <mergeCell ref="A75:A81"/>
    <mergeCell ref="B19:B25"/>
    <mergeCell ref="C152:C158"/>
    <mergeCell ref="D75:D81"/>
    <mergeCell ref="C47:C53"/>
    <mergeCell ref="A145:A151"/>
    <mergeCell ref="B82:B88"/>
    <mergeCell ref="A89:A95"/>
    <mergeCell ref="D12:D18"/>
    <mergeCell ref="A1:H1"/>
    <mergeCell ref="C138:C144"/>
    <mergeCell ref="B124:B130"/>
    <mergeCell ref="B5:B11"/>
    <mergeCell ref="A26:A32"/>
    <mergeCell ref="D5:D11"/>
    <mergeCell ref="A131:A137"/>
    <mergeCell ref="C131:C137"/>
    <mergeCell ref="D117:D123"/>
    <mergeCell ref="A68:A74"/>
    <mergeCell ref="C19:C25"/>
    <mergeCell ref="B110:B116"/>
    <mergeCell ref="D110:D116"/>
    <mergeCell ref="B47:B53"/>
    <mergeCell ref="D96:D102"/>
    <mergeCell ref="C89:C95"/>
    <mergeCell ref="C5:C11"/>
    <mergeCell ref="D145:D151"/>
    <mergeCell ref="B152:B158"/>
  </mergeCells>
  <dataValidations count="1">
    <dataValidation sqref="H5:H158" showDropDown="0" showInputMessage="0" showErrorMessage="0" allowBlank="1" type="whole" operator="between">
      <formula1>1</formula1>
      <formula2>5</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sheetPr>
    <outlinePr summaryBelow="1" summaryRight="1"/>
    <pageSetUpPr/>
  </sheetPr>
  <dimension ref="A1:F42"/>
  <sheetViews>
    <sheetView showGridLines="0" workbookViewId="0">
      <selection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ht="24" customHeight="1">
      <c r="A1" s="1" t="inlineStr">
        <is>
          <t>Pipeline summary</t>
        </is>
      </c>
    </row>
    <row r="2">
      <c r="A2" s="2" t="inlineStr">
        <is>
          <t>Every figure is a formula over the Interview Inventory sheet. Change the as-on date in B4 and the availability numbers move with it.</t>
        </is>
      </c>
    </row>
    <row r="4">
      <c r="A4" s="43" t="inlineStr">
        <is>
          <t>As-on date (drives availability)</t>
        </is>
      </c>
      <c r="B4" s="44" t="n">
        <v>46303</v>
      </c>
    </row>
    <row r="5">
      <c r="A5" s="45" t="inlineStr">
        <is>
          <t>Total candidates</t>
        </is>
      </c>
      <c r="B5" s="11">
        <f>COUNTA('Interview Inventory'!$A$3:$A$24)</f>
        <v>22</v>
      </c>
    </row>
    <row r="7">
      <c r="A7" s="46" t="inlineStr">
        <is>
          <t>Mix by role</t>
        </is>
      </c>
    </row>
    <row r="8" ht="30" customHeight="1">
      <c r="A8" s="9" t="inlineStr">
        <is>
          <t>Role</t>
        </is>
      </c>
      <c r="B8" s="9" t="inlineStr">
        <is>
          <t>Count</t>
        </is>
      </c>
      <c r="C8" s="9" t="inlineStr">
        <is>
          <t>Avg CTC</t>
        </is>
      </c>
      <c r="D8" s="9" t="inlineStr">
        <is>
          <t>Avg ECTC</t>
        </is>
      </c>
      <c r="E8" s="9" t="inlineStr">
        <is>
          <t>Avg hike</t>
        </is>
      </c>
      <c r="F8" s="9" t="inlineStr">
        <is>
          <t>Max ECTC</t>
        </is>
      </c>
    </row>
    <row r="9">
      <c r="A9" s="14" t="inlineStr">
        <is>
          <t>Senior Software Engineer</t>
        </is>
      </c>
      <c r="B9" s="11">
        <f>COUNTIF('Interview Inventory'!$D$3:$D$24,A9)</f>
        <v>6</v>
      </c>
      <c r="C9" s="15">
        <f>IFERROR(AVERAGEIF('Interview Inventory'!$D$3:$D$24,A9,'Interview Inventory'!$N$3:$N$24),"")</f>
        <v>8.644</v>
      </c>
      <c r="D9" s="15">
        <f>IFERROR(AVERAGEIF('Interview Inventory'!$D$3:$D$24,A9,'Interview Inventory'!$O$3:$O$24),"")</f>
        <v>14.2</v>
      </c>
      <c r="E9" s="16">
        <f>IFERROR(AVERAGEIF('Interview Inventory'!$D$3:$D$24,A9,'Interview Inventory'!$Q$3:$Q$24),"")</f>
        <v>0.7076819013</v>
      </c>
      <c r="F9" s="15">
        <f>_xlfn.MAXIFS('Interview Inventory'!$O$3:$O$24,'Interview Inventory'!$D$3:$D$24,A9)</f>
        <v>18</v>
      </c>
    </row>
    <row r="10">
      <c r="A10" s="14" t="inlineStr">
        <is>
          <t>Technical Consultant</t>
        </is>
      </c>
      <c r="B10" s="11">
        <f>COUNTIF('Interview Inventory'!$D$3:$D$24,A10)</f>
        <v>8</v>
      </c>
      <c r="C10" s="15">
        <f>IFERROR(AVERAGEIF('Interview Inventory'!$D$3:$D$24,A10,'Interview Inventory'!$N$3:$N$24),"")</f>
        <v>22.7125</v>
      </c>
      <c r="D10" s="15">
        <f>IFERROR(AVERAGEIF('Interview Inventory'!$D$3:$D$24,A10,'Interview Inventory'!$O$3:$O$24),"")</f>
        <v>29.375</v>
      </c>
      <c r="E10" s="16">
        <f>IFERROR(AVERAGEIF('Interview Inventory'!$D$3:$D$24,A10,'Interview Inventory'!$Q$3:$Q$24),"")</f>
        <v>0.3417736046</v>
      </c>
      <c r="F10" s="15">
        <f>_xlfn.MAXIFS('Interview Inventory'!$O$3:$O$24,'Interview Inventory'!$D$3:$D$24,A10)</f>
        <v>36</v>
      </c>
    </row>
    <row r="11">
      <c r="A11" s="14" t="inlineStr">
        <is>
          <t>Technology Lead</t>
        </is>
      </c>
      <c r="B11" s="11">
        <f>COUNTIF('Interview Inventory'!$D$3:$D$24,A11)</f>
        <v>8</v>
      </c>
      <c r="C11" s="15">
        <f>IFERROR(AVERAGEIF('Interview Inventory'!$D$3:$D$24,A11,'Interview Inventory'!$N$3:$N$24),"")</f>
        <v>22</v>
      </c>
      <c r="D11" s="15">
        <f>IFERROR(AVERAGEIF('Interview Inventory'!$D$3:$D$24,A11,'Interview Inventory'!$O$3:$O$24),"")</f>
        <v>30</v>
      </c>
      <c r="E11" s="16">
        <f>IFERROR(AVERAGEIF('Interview Inventory'!$D$3:$D$24,A11,'Interview Inventory'!$Q$3:$Q$24),"")</f>
        <v>0.3778743316</v>
      </c>
      <c r="F11" s="15">
        <f>_xlfn.MAXIFS('Interview Inventory'!$O$3:$O$24,'Interview Inventory'!$D$3:$D$24,A11)</f>
        <v>35</v>
      </c>
    </row>
    <row r="12">
      <c r="A12" s="43" t="inlineStr">
        <is>
          <t>All roles</t>
        </is>
      </c>
      <c r="B12" s="34">
        <f>COUNTA('Interview Inventory'!$A$3:$A$24)</f>
        <v>22</v>
      </c>
      <c r="C12" s="47">
        <f>AVERAGE('Interview Inventory'!$N$3:$N$24)</f>
        <v>18.4070588235</v>
      </c>
      <c r="D12" s="47">
        <f>AVERAGE('Interview Inventory'!$O$3:$O$24)</f>
        <v>25.0588235294</v>
      </c>
      <c r="E12" s="48">
        <f>AVERAGE('Interview Inventory'!$Q$3:$Q$24)</f>
        <v>0.4578879805</v>
      </c>
      <c r="F12" s="47">
        <f>MAX('Interview Inventory'!$O$3:$O$24)</f>
        <v>36</v>
      </c>
    </row>
    <row r="14">
      <c r="A14" s="46" t="inlineStr">
        <is>
          <t>Availability against the as-on date</t>
        </is>
      </c>
    </row>
    <row r="15" ht="30" customHeight="1">
      <c r="A15" s="9" t="inlineStr">
        <is>
          <t>Bucket</t>
        </is>
      </c>
      <c r="B15" s="9" t="inlineStr">
        <is>
          <t>Candidates</t>
        </is>
      </c>
      <c r="C15" s="9" t="inlineStr">
        <is>
          <t>% of pipeline</t>
        </is>
      </c>
    </row>
    <row r="16">
      <c r="A16" s="14" t="inlineStr">
        <is>
          <t>Last working day already passed</t>
        </is>
      </c>
      <c r="B16" s="11">
        <f>COUNTIF('Interview Inventory'!$T$3:$T$24,"Available now")</f>
        <v>13</v>
      </c>
      <c r="C16" s="16">
        <f>IFERROR(B16/$B$5,"")</f>
        <v>0.5909090909</v>
      </c>
    </row>
    <row r="17">
      <c r="A17" s="14" t="inlineStr">
        <is>
          <t>Within 30 days</t>
        </is>
      </c>
      <c r="B17" s="11">
        <f>COUNTIF('Interview Inventory'!$T$3:$T$24,"Within 30 days")</f>
        <v>4</v>
      </c>
      <c r="C17" s="16">
        <f>IFERROR(B17/$B$5,"")</f>
        <v>0.1818181818</v>
      </c>
    </row>
    <row r="18">
      <c r="A18" s="14" t="inlineStr">
        <is>
          <t>Beyond 30 days</t>
        </is>
      </c>
      <c r="B18" s="11">
        <f>COUNTIF('Interview Inventory'!$T$3:$T$24,"Beyond 30 days")</f>
        <v>0</v>
      </c>
      <c r="C18" s="16">
        <f>IFERROR(B18/$B$5,"")</f>
        <v>0.0</v>
      </c>
    </row>
    <row r="19">
      <c r="A19" s="14" t="inlineStr">
        <is>
          <t>Notice not captured</t>
        </is>
      </c>
      <c r="B19" s="11">
        <f>COUNTIF('Interview Inventory'!$T$3:$T$24,"Not captured")</f>
        <v>5</v>
      </c>
      <c r="C19" s="16">
        <f>IFERROR(B19/$B$5,"")</f>
        <v>0.2272727273</v>
      </c>
    </row>
    <row r="21">
      <c r="A21" s="46" t="inlineStr">
        <is>
          <t>Source, commercials, offers and flags</t>
        </is>
      </c>
    </row>
    <row r="22" ht="30" customHeight="1">
      <c r="A22" s="9" t="inlineStr">
        <is>
          <t>Measure</t>
        </is>
      </c>
      <c r="B22" s="9" t="inlineStr">
        <is>
          <t>Count</t>
        </is>
      </c>
    </row>
    <row r="23">
      <c r="A23" s="14" t="inlineStr">
        <is>
          <t>From IKrux Engineering</t>
        </is>
      </c>
      <c r="B23" s="11">
        <f>COUNTIF('Interview Inventory'!$B$3:$B$24,"IKrux Engineering")</f>
        <v>17</v>
      </c>
    </row>
    <row r="24">
      <c r="A24" s="14" t="inlineStr">
        <is>
          <t>Direct submissions</t>
        </is>
      </c>
      <c r="B24" s="11">
        <f>COUNTIF('Interview Inventory'!$B$3:$B$24,"Direct")</f>
        <v>5</v>
      </c>
    </row>
    <row r="25">
      <c r="A25" s="14" t="inlineStr">
        <is>
          <t>CTC and ECTC captured</t>
        </is>
      </c>
      <c r="B25" s="11">
        <f>COUNT('Interview Inventory'!$N$3:$N$24)</f>
        <v>17</v>
      </c>
    </row>
    <row r="26">
      <c r="A26" s="14" t="inlineStr">
        <is>
          <t>Commercials not yet captured</t>
        </is>
      </c>
      <c r="B26" s="11">
        <f>$B$5-COUNT('Interview Inventory'!$N$3:$N$24)</f>
        <v>5</v>
      </c>
    </row>
    <row r="27">
      <c r="A27" s="14" t="inlineStr">
        <is>
          <t>Holding a competing offer</t>
        </is>
      </c>
      <c r="B27" s="11">
        <f>$B$5-COUNTIF('Interview Inventory'!$P$3:$P$24,"No")-COUNTIF('Interview Inventory'!$P$3:$P$24,"Not captured")</f>
        <v>3</v>
      </c>
    </row>
    <row r="28">
      <c r="A28" s="14" t="inlineStr">
        <is>
          <t>Already in Coimbatore</t>
        </is>
      </c>
      <c r="B28" s="11">
        <f>COUNTIF('Interview Inventory'!$K$3:$K$24,"Coimbatore")</f>
        <v>11</v>
      </c>
    </row>
    <row r="29">
      <c r="A29" s="14" t="inlineStr">
        <is>
          <t>Carrying a High flag</t>
        </is>
      </c>
      <c r="B29" s="11">
        <f>COUNTIF('Interview Inventory'!$U$3:$U$24,"High")</f>
        <v>6</v>
      </c>
    </row>
    <row r="30">
      <c r="A30" s="14" t="inlineStr">
        <is>
          <t>Carrying a Medium flag</t>
        </is>
      </c>
      <c r="B30" s="11">
        <f>COUNTIF('Interview Inventory'!$U$3:$U$24,"Medium")</f>
        <v>14</v>
      </c>
    </row>
    <row r="31">
      <c r="A31" s="14" t="inlineStr">
        <is>
          <t>No flags raised</t>
        </is>
      </c>
      <c r="B31" s="11">
        <f>COUNTIF('Interview Inventory'!$U$3:$U$24,"None")</f>
        <v>2</v>
      </c>
    </row>
    <row r="33">
      <c r="A33" s="46" t="inlineStr">
        <is>
          <t>Interview funnel (fills as the tracking columns are used)</t>
        </is>
      </c>
    </row>
    <row r="34" ht="30" customHeight="1">
      <c r="A34" s="9" t="inlineStr">
        <is>
          <t>Stage</t>
        </is>
      </c>
      <c r="B34" s="9" t="inlineStr">
        <is>
          <t>Count</t>
        </is>
      </c>
    </row>
    <row r="35">
      <c r="A35" s="14" t="inlineStr">
        <is>
          <t>Shortlisted at screening</t>
        </is>
      </c>
      <c r="B35" s="11">
        <f>COUNTIF('Interview Inventory'!$Y$3:$Y$24,"Shortlisted")</f>
        <v>0</v>
      </c>
    </row>
    <row r="36">
      <c r="A36" s="14" t="inlineStr">
        <is>
          <t>Round 1 selected</t>
        </is>
      </c>
      <c r="B36" s="11">
        <f>COUNTIF('Interview Inventory'!$AB$3:$AB$24,"Selected")</f>
        <v>0</v>
      </c>
    </row>
    <row r="37">
      <c r="A37" s="14" t="inlineStr">
        <is>
          <t>Round 2 selected</t>
        </is>
      </c>
      <c r="B37" s="11">
        <f>COUNTIF('Interview Inventory'!$AE$3:$AE$24,"Selected")</f>
        <v>0</v>
      </c>
    </row>
    <row r="38">
      <c r="A38" s="14" t="inlineStr">
        <is>
          <t>Round 3 selected</t>
        </is>
      </c>
      <c r="B38" s="11">
        <f>COUNTIF('Interview Inventory'!$AH$3:$AH$24,"Selected")</f>
        <v>0</v>
      </c>
    </row>
    <row r="39">
      <c r="A39" s="14" t="inlineStr">
        <is>
          <t>Final round selected</t>
        </is>
      </c>
      <c r="B39" s="11">
        <f>COUNTIF('Interview Inventory'!$AK$3:$AK$24,"Selected")</f>
        <v>0</v>
      </c>
    </row>
    <row r="40">
      <c r="A40" s="14" t="inlineStr">
        <is>
          <t>Offer released</t>
        </is>
      </c>
      <c r="B40" s="11">
        <f>COUNTIF('Interview Inventory'!$AN$3:$AN$24,"Yes")</f>
        <v>0</v>
      </c>
    </row>
    <row r="41">
      <c r="A41" s="14" t="inlineStr">
        <is>
          <t>Joined</t>
        </is>
      </c>
      <c r="B41" s="11">
        <f>COUNTIF('Interview Inventory'!$AM$3:$AM$24,"Joined")</f>
        <v>0</v>
      </c>
    </row>
    <row r="42">
      <c r="A42" s="14" t="inlineStr">
        <is>
          <t>Rejected at any round</t>
        </is>
      </c>
      <c r="B42" s="11">
        <f>COUNTIF('Interview Inventory'!$Y$3:$Y$24,"Rejected")+COUNTIF('Interview Inventory'!$AB$3:$AB$24,"Rejected")+COUNTIF('Interview Inventory'!$AE$3:$AE$24,"Rejected")+COUNTIF('Interview Inventory'!$AH$3:$AH$24,"Rejected")+COUNTIF('Interview Inventory'!$AK$3:$AK$24,"Rejected")</f>
        <v>0</v>
      </c>
    </row>
  </sheetData>
  <mergeCells count="2">
    <mergeCell ref="A2:F2"/>
    <mergeCell ref="A1:F1"/>
  </mergeCells>
  <pageMargins left="0.75" right="0.75" top="1" bottom="1" header="0.5" footer="0.5"/>
  <legacyDrawing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2026-10-08T05:00:18Z</dcterms:created>
  <dcterms:modified xmlns:dcterms="http://purl.org/dc/terms/" xmlns:xsi="http://www.w3.org/2001/XMLSchema-instance" xsi:type="dcterms:W3CDTF">2026-10-08T05:00:18Z</dcterms:modified>
</cp:coreProperties>
</file>